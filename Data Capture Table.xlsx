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ndrewLang\Downloads\"/>
    </mc:Choice>
  </mc:AlternateContent>
  <xr:revisionPtr revIDLastSave="0" documentId="13_ncr:1_{95606515-3202-47C0-B6A8-A768F998D93A}" xr6:coauthVersionLast="47" xr6:coauthVersionMax="47" xr10:uidLastSave="{00000000-0000-0000-0000-000000000000}"/>
  <bookViews>
    <workbookView xWindow="375" yWindow="-16065" windowWidth="25785" windowHeight="13530" activeTab="3" xr2:uid="{00000000-000D-0000-FFFF-FFFF00000000}"/>
  </bookViews>
  <sheets>
    <sheet name="PhaseI-Bfx" sheetId="1" r:id="rId1"/>
    <sheet name="PhaseII-WetLab" sheetId="3" r:id="rId2"/>
    <sheet name="PhaseII-WetLabReference" sheetId="4" r:id="rId3"/>
    <sheet name="PhaseII-Bfx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2" i="2" l="1"/>
  <c r="C83" i="2"/>
  <c r="C84" i="2"/>
  <c r="C85" i="2"/>
  <c r="C86" i="2"/>
  <c r="C87" i="2"/>
  <c r="C88" i="2"/>
  <c r="C89" i="2"/>
  <c r="C90" i="2"/>
  <c r="B82" i="2"/>
  <c r="B83" i="2"/>
  <c r="B84" i="2"/>
  <c r="B85" i="2"/>
  <c r="B86" i="2"/>
  <c r="B87" i="2"/>
  <c r="B88" i="2"/>
  <c r="B89" i="2"/>
  <c r="B90" i="2"/>
  <c r="C141" i="2"/>
  <c r="B141" i="2"/>
  <c r="C140" i="2"/>
  <c r="B140" i="2"/>
  <c r="C139" i="2"/>
  <c r="B139" i="2"/>
  <c r="C138" i="2"/>
  <c r="B138" i="2"/>
  <c r="C137" i="2"/>
  <c r="B137" i="2"/>
  <c r="C136" i="2"/>
  <c r="B136" i="2"/>
  <c r="C135" i="2"/>
  <c r="B135" i="2"/>
  <c r="C134" i="2"/>
  <c r="B134" i="2"/>
  <c r="C133" i="2"/>
  <c r="B133" i="2"/>
  <c r="C132" i="2"/>
  <c r="B132" i="2"/>
  <c r="C131" i="2"/>
  <c r="B131" i="2"/>
  <c r="C130" i="2"/>
  <c r="B130" i="2"/>
  <c r="C129" i="2"/>
  <c r="B129" i="2"/>
  <c r="C128" i="2"/>
  <c r="B128" i="2"/>
  <c r="C127" i="2"/>
  <c r="B127" i="2"/>
  <c r="C126" i="2"/>
  <c r="B126" i="2"/>
  <c r="C125" i="2"/>
  <c r="B125" i="2"/>
  <c r="C124" i="2"/>
  <c r="B124" i="2"/>
  <c r="C123" i="2"/>
  <c r="B123" i="2"/>
  <c r="C122" i="2"/>
  <c r="B122" i="2"/>
  <c r="C121" i="2"/>
  <c r="B121" i="2"/>
  <c r="C120" i="2"/>
  <c r="B120" i="2"/>
  <c r="C119" i="2"/>
  <c r="B119" i="2"/>
  <c r="C118" i="2"/>
  <c r="B118" i="2"/>
  <c r="C117" i="2"/>
  <c r="B117" i="2"/>
  <c r="C116" i="2"/>
  <c r="B116" i="2"/>
  <c r="C115" i="2"/>
  <c r="B115" i="2"/>
  <c r="C114" i="2"/>
  <c r="B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B58" i="2"/>
  <c r="C58" i="2"/>
  <c r="B7" i="2"/>
  <c r="B8" i="2"/>
  <c r="B9" i="2"/>
  <c r="C8" i="2"/>
  <c r="C9" i="2"/>
  <c r="C7" i="2"/>
  <c r="B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11" i="2"/>
  <c r="B12" i="2"/>
  <c r="B13" i="2"/>
  <c r="B14" i="2"/>
  <c r="B15" i="2"/>
  <c r="B16" i="2"/>
  <c r="B17" i="2"/>
  <c r="B10" i="1"/>
  <c r="B7" i="1"/>
  <c r="C10" i="2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C9" i="1"/>
  <c r="B9" i="1"/>
  <c r="C8" i="1"/>
  <c r="B8" i="1"/>
  <c r="C7" i="1"/>
</calcChain>
</file>

<file path=xl/sharedStrings.xml><?xml version="1.0" encoding="utf-8"?>
<sst xmlns="http://schemas.openxmlformats.org/spreadsheetml/2006/main" count="1352" uniqueCount="305">
  <si>
    <t>Naming Scheme: We recommend naming your files with a concatenation of the SRA ID, reference used, and your submitter abbreviation - separated by an underscore. If you populate "Submitter Name For Files" and "Assembly Filename Extension", this sheet will pre-generate that for you. Or, deviate from this schema as necessary for your processes</t>
  </si>
  <si>
    <t>Organization/Lab Name</t>
  </si>
  <si>
    <t>POC Name</t>
  </si>
  <si>
    <t>POC Email</t>
  </si>
  <si>
    <t>Submitter Name For Files (no spaces)</t>
  </si>
  <si>
    <t>Assembly Filename Extension (fasta/fa)</t>
  </si>
  <si>
    <t>submittername</t>
  </si>
  <si>
    <t>fa</t>
  </si>
  <si>
    <t>Sample ID</t>
  </si>
  <si>
    <t>Assembly Filename</t>
  </si>
  <si>
    <t>SRA ID</t>
  </si>
  <si>
    <t>Assembly Species / Segment</t>
  </si>
  <si>
    <t>Reference Used</t>
  </si>
  <si>
    <t>Platform</t>
  </si>
  <si>
    <t>Strategy</t>
  </si>
  <si>
    <t xml:space="preserve">Assembly Generated? </t>
  </si>
  <si>
    <t xml:space="preserve">Would this be condsidered "Passing" by your internal standards? </t>
  </si>
  <si>
    <t>Compute Environment (HPC cluster, cloud/local workstation)</t>
  </si>
  <si>
    <t>Workflow Name &amp; Version</t>
  </si>
  <si>
    <t>Workflow Github Link (if hosted/public on GH)</t>
  </si>
  <si>
    <t>SRR28460520</t>
  </si>
  <si>
    <t>Influenza B / 1</t>
  </si>
  <si>
    <t>NC_002204.1</t>
  </si>
  <si>
    <t>Illumina</t>
  </si>
  <si>
    <t>WGS</t>
  </si>
  <si>
    <t>RANDOM PCR</t>
  </si>
  <si>
    <t>Influenza B / 2</t>
  </si>
  <si>
    <t>NC_002205.1</t>
  </si>
  <si>
    <t>Influenza B / 3</t>
  </si>
  <si>
    <t>NC_002206.1</t>
  </si>
  <si>
    <t>Influenza B / 4</t>
  </si>
  <si>
    <t>NC_002207.1</t>
  </si>
  <si>
    <t>Influenza B / 5</t>
  </si>
  <si>
    <t>NC_002208.1</t>
  </si>
  <si>
    <t>Influenza B / 6</t>
  </si>
  <si>
    <t>NC_002209.1</t>
  </si>
  <si>
    <t>Influenza B / 7</t>
  </si>
  <si>
    <t>NC_002210.1</t>
  </si>
  <si>
    <t>Influenza B / 8</t>
  </si>
  <si>
    <t>NC_002211.1</t>
  </si>
  <si>
    <t>SRR32566846</t>
  </si>
  <si>
    <t>ONT</t>
  </si>
  <si>
    <t>AMPLICON</t>
  </si>
  <si>
    <t>size fractionation</t>
  </si>
  <si>
    <t>SRR30714436</t>
  </si>
  <si>
    <t>RNA-Seq</t>
  </si>
  <si>
    <t>RANDOM</t>
  </si>
  <si>
    <t>SRR29478216</t>
  </si>
  <si>
    <t>PCR</t>
  </si>
  <si>
    <t>SRR22846266</t>
  </si>
  <si>
    <t>ERR12329533</t>
  </si>
  <si>
    <t>Influenza A / 1</t>
  </si>
  <si>
    <t>NC_026438.1</t>
  </si>
  <si>
    <t>PolyA</t>
  </si>
  <si>
    <t>Influenza A / 2</t>
  </si>
  <si>
    <t>NC_026435.1</t>
  </si>
  <si>
    <t>Influenza A / 3</t>
  </si>
  <si>
    <t>NC_026437.1</t>
  </si>
  <si>
    <t>Influenza A / 4</t>
  </si>
  <si>
    <t>NC_026433.1</t>
  </si>
  <si>
    <t>Influenza A / 5</t>
  </si>
  <si>
    <t>NC_026436.1</t>
  </si>
  <si>
    <t>Influenza A / 6</t>
  </si>
  <si>
    <t>NC_026434.1</t>
  </si>
  <si>
    <t>Influenza A / 7</t>
  </si>
  <si>
    <t>NC_026431.1</t>
  </si>
  <si>
    <t>Influenza A / 8</t>
  </si>
  <si>
    <t>NC_026432.1</t>
  </si>
  <si>
    <t>ERR10221502</t>
  </si>
  <si>
    <t>RT-PCR</t>
  </si>
  <si>
    <t>SRR8032432</t>
  </si>
  <si>
    <t>ERR3474640</t>
  </si>
  <si>
    <t>NC_007372.1</t>
  </si>
  <si>
    <t>NC_007373.1</t>
  </si>
  <si>
    <t>NC_007371.1</t>
  </si>
  <si>
    <t>NC_007366.1</t>
  </si>
  <si>
    <t>NC_007369.1</t>
  </si>
  <si>
    <t>NC_007368.1</t>
  </si>
  <si>
    <t>NC_007367.1</t>
  </si>
  <si>
    <t>NC_007370.1</t>
  </si>
  <si>
    <t>SRR17349351</t>
  </si>
  <si>
    <t>OL782155.1</t>
  </si>
  <si>
    <t>OL782156.1</t>
  </si>
  <si>
    <t>OL782157.1</t>
  </si>
  <si>
    <t>OL782158.1</t>
  </si>
  <si>
    <t>OL782159.1</t>
  </si>
  <si>
    <t>OL782160.1</t>
  </si>
  <si>
    <t>OL782161.1</t>
  </si>
  <si>
    <t>OL782162.1</t>
  </si>
  <si>
    <t>ERR11658778</t>
  </si>
  <si>
    <t>DQ266097.1</t>
  </si>
  <si>
    <t>DQ266098.1</t>
  </si>
  <si>
    <t>DQ266099.1</t>
  </si>
  <si>
    <t>DQ266094.1</t>
  </si>
  <si>
    <t>DQ266096.1</t>
  </si>
  <si>
    <t>DQ266095.1</t>
  </si>
  <si>
    <t>DQ266100.1</t>
  </si>
  <si>
    <t>DQ266101.1</t>
  </si>
  <si>
    <t>SRR28460508</t>
  </si>
  <si>
    <t>SRR28460730</t>
  </si>
  <si>
    <t>SRR28460430</t>
  </si>
  <si>
    <t>RSV A</t>
  </si>
  <si>
    <t>KY654518.1</t>
  </si>
  <si>
    <t>SRR28460443</t>
  </si>
  <si>
    <t>RSV B</t>
  </si>
  <si>
    <t>MZ516105.1</t>
  </si>
  <si>
    <t>SRR6849656</t>
  </si>
  <si>
    <t>SRR6849700</t>
  </si>
  <si>
    <t>SRR29105551</t>
  </si>
  <si>
    <t>SRR29105531</t>
  </si>
  <si>
    <t>SRR10033266</t>
  </si>
  <si>
    <t>SRR10033406</t>
  </si>
  <si>
    <t>SRR29541224</t>
  </si>
  <si>
    <t>SRR29541232</t>
  </si>
  <si>
    <t>SRR27723526</t>
  </si>
  <si>
    <t>SARS-CoV-2</t>
  </si>
  <si>
    <t>NC_045512.2</t>
  </si>
  <si>
    <t>SRR27723604</t>
  </si>
  <si>
    <t>SRR27723548</t>
  </si>
  <si>
    <t>SRR21643272</t>
  </si>
  <si>
    <t>SRR21643274</t>
  </si>
  <si>
    <t>SRR25780269</t>
  </si>
  <si>
    <t>PacBio</t>
  </si>
  <si>
    <t>Synthetic-Long-Read</t>
  </si>
  <si>
    <t>Restriction Digest</t>
  </si>
  <si>
    <t>SRR21357948</t>
  </si>
  <si>
    <t>SRR24146478</t>
  </si>
  <si>
    <t>SRR24146463</t>
  </si>
  <si>
    <t>SRR27033643</t>
  </si>
  <si>
    <t>Inverse rRNA</t>
  </si>
  <si>
    <t>SC2_composite</t>
  </si>
  <si>
    <t>RSVA_1540</t>
  </si>
  <si>
    <t>RSVB_3381</t>
  </si>
  <si>
    <t>H1N1_1469</t>
  </si>
  <si>
    <t>H3N2_777</t>
  </si>
  <si>
    <t>INFB_1931</t>
  </si>
  <si>
    <t>MIX1-A_1469-777_4-1</t>
  </si>
  <si>
    <t>MIX1-B_1469-777_1-1</t>
  </si>
  <si>
    <t>MIX1-C_1469-777_1-4</t>
  </si>
  <si>
    <t>MIX2-A_1540-3381_4-1</t>
  </si>
  <si>
    <t>MIX2-B_1540-3381_1-1</t>
  </si>
  <si>
    <t>MIX2-C_1540-3381_1-4</t>
  </si>
  <si>
    <t>MIX3-A_1540-1469_4-1</t>
  </si>
  <si>
    <t>MIX3-B_1540-1469_1-1</t>
  </si>
  <si>
    <t>MIX3-C_1540-1469_1-4</t>
  </si>
  <si>
    <t>flua1</t>
  </si>
  <si>
    <t>Segment</t>
  </si>
  <si>
    <t>Reference</t>
  </si>
  <si>
    <t>Assembly Species</t>
  </si>
  <si>
    <t>flua2</t>
  </si>
  <si>
    <t>flua3</t>
  </si>
  <si>
    <t>flua4</t>
  </si>
  <si>
    <t>flua5</t>
  </si>
  <si>
    <t>flua6</t>
  </si>
  <si>
    <t>flua7</t>
  </si>
  <si>
    <t>flua8</t>
  </si>
  <si>
    <t>rsva</t>
  </si>
  <si>
    <t>rsvb</t>
  </si>
  <si>
    <t>sc2</t>
  </si>
  <si>
    <t>*Optional for inclusion in benchmarking end-to-end analysis</t>
  </si>
  <si>
    <t>MIX5-C_1540-1469_1-4_submittername</t>
  </si>
  <si>
    <t>RVH1: RSVA2 (ATCC VR-1540) + H1N1 (ATCC VR-1469), 1:4 ratio</t>
  </si>
  <si>
    <t>MIX5-C_1540-1469_1-4</t>
  </si>
  <si>
    <t>MIX5-C</t>
  </si>
  <si>
    <t>MIX5-B_1540-1469_1-1_submittername</t>
  </si>
  <si>
    <t>RVH1: RSVA2 (ATCC VR-1540) + H1N1 (ATCC VR-1469), 1:1 ratio</t>
  </si>
  <si>
    <t>MIX5-B_1540-1469_1-1</t>
  </si>
  <si>
    <t>MIX5-B</t>
  </si>
  <si>
    <t>MIX5-A_1540-1469_4-1_submittername</t>
  </si>
  <si>
    <t>RVH1: RSVA2 (ATCC VR-1540) + H1N1 (ATCC VR-1469), 4:1 ratio</t>
  </si>
  <si>
    <t>MIX5-A_1540-1469_4-1</t>
  </si>
  <si>
    <t>MIX5-A</t>
  </si>
  <si>
    <t>MIX4-C_1540-1469_1-4_submittername</t>
  </si>
  <si>
    <t>H13: H1N1 (ATCC VR-1469) + H3N2 (ATCC VR-777), 1:4 ratio</t>
  </si>
  <si>
    <t>MIX4-C_1469-777_1-4</t>
  </si>
  <si>
    <t>MIX4-C</t>
  </si>
  <si>
    <t>MIX4-B_1540-1469_1-1_submittername</t>
  </si>
  <si>
    <t>H13: H1N1 (ATCC VR-1469) + H3N2 (ATCC VR-777), 1:1 ratio</t>
  </si>
  <si>
    <t>MIX4-B_1469-777_1-1</t>
  </si>
  <si>
    <t>MIX4-B</t>
  </si>
  <si>
    <t>MIX4-A_1540-1469_4-1_submittername</t>
  </si>
  <si>
    <t>H13: H1N1 (ATCC VR-1469) + H3N2 (ATCC VR-777), 4:1 ratio</t>
  </si>
  <si>
    <t>MIX4-A_1469-777_4-1</t>
  </si>
  <si>
    <t>MIX4-A</t>
  </si>
  <si>
    <t>MIX3-C_1540-1469_125-1_submittername</t>
  </si>
  <si>
    <t>RVH1: RSVA2 (ATCC VR-1540) + H1N1 (ATCC VR-1469), 125:1 ratio</t>
  </si>
  <si>
    <t>MIX3-C*</t>
  </si>
  <si>
    <t>MIX3-B_1540-1469_500-1_submittername</t>
  </si>
  <si>
    <t>RVH1: RSVA2 (ATCC VR-1540) + H1N1 (ATCC VR-1469), 500:1 ratio</t>
  </si>
  <si>
    <t>MIX3-B*</t>
  </si>
  <si>
    <t>MIX3-A_1540-1469_2000-1_submittername</t>
  </si>
  <si>
    <t>RVH1: RSVA2 (ATCC VR-1540) + H1N1 (ATCC VR-1469), 2000:1 ratio</t>
  </si>
  <si>
    <t>MIX3-A*</t>
  </si>
  <si>
    <t>MIX2-C_1540-3381_1-4_submittername</t>
  </si>
  <si>
    <t>RV2: RSVA2 (ATCC VR-1540) + RSVB1 (ATCC VR-3381), 1:4 ratio</t>
  </si>
  <si>
    <t>MIX2-C</t>
  </si>
  <si>
    <t>MIX2-B_1540-3381_1-1_submittername</t>
  </si>
  <si>
    <t>RV2: RSVA2 (ATCC VR-1540) + RSVB1 (ATCC VR-3381), 1:1 ratio</t>
  </si>
  <si>
    <t>MIX2-B</t>
  </si>
  <si>
    <t>MIX2-A_1540-3381_4-1_submittername</t>
  </si>
  <si>
    <t>RV2: RSVA2 (ATCC VR-1540) + RSVB1 (ATCC VR-3381), 4:1 ratio</t>
  </si>
  <si>
    <t>MIX2-A</t>
  </si>
  <si>
    <t>MIX1-C_1469-777_1-25_submittername</t>
  </si>
  <si>
    <t>H13: H1N1 (ATCC VR-1469) + H3N2 (ATCC VR-777), 1:25 ratio</t>
  </si>
  <si>
    <t>MIX1-C*</t>
  </si>
  <si>
    <t>MIX1-B_1469-777_1-100_submittername</t>
  </si>
  <si>
    <t>H13: H1N1 (ATCC VR-1469) + H3N2 (ATCC VR-777), 1:100 ratio</t>
  </si>
  <si>
    <t>MIX1-B*</t>
  </si>
  <si>
    <t>MIX1-A_1469-777_1-500_submittername</t>
  </si>
  <si>
    <t>H13: H1N1 (ATCC VR-1469) + H3N2 (ATCC VR-777), 1:500 ratio</t>
  </si>
  <si>
    <t>MIX1-A*</t>
  </si>
  <si>
    <t>INFB_1931_submittername</t>
  </si>
  <si>
    <t>Influenza B (ATCC VR-1931)</t>
  </si>
  <si>
    <t>INFB</t>
  </si>
  <si>
    <t>H3N2_777_submittername</t>
  </si>
  <si>
    <t>Influenza A H3N2 (ATCC VR-777)</t>
  </si>
  <si>
    <t>H3N2</t>
  </si>
  <si>
    <t>H1N1_1469_submittername</t>
  </si>
  <si>
    <t>Influenza A H1N1 (ATCC VR-1469)</t>
  </si>
  <si>
    <t>H1N1</t>
  </si>
  <si>
    <t>RSVB_3381_submittername</t>
  </si>
  <si>
    <t>Respiratory syncytial virus B (ATCC VR-1540)</t>
  </si>
  <si>
    <t>RSVB</t>
  </si>
  <si>
    <t>RSVA_1540_submittername</t>
  </si>
  <si>
    <t>Respiratory syncytial virus A (ATCC VR-1540)</t>
  </si>
  <si>
    <t>RSVA</t>
  </si>
  <si>
    <t>SC2_composite_submittername</t>
  </si>
  <si>
    <t>SARS-CoV-2 (composite of clinical specimens)</t>
  </si>
  <si>
    <t>SC1</t>
  </si>
  <si>
    <t>Other comments or remarks</t>
  </si>
  <si>
    <t>Please provide a link (protocols.io, GitHub, OneDrive, etc.) to the protocol used for library prep, if available</t>
  </si>
  <si>
    <t xml:space="preserve">Did the sequencing run including this sample pass the run-level metrics? </t>
  </si>
  <si>
    <t>Please describe the run-level metrics evaluated</t>
  </si>
  <si>
    <t>Does your laboratory have acceptability criteria for sequencing run metrics?</t>
  </si>
  <si>
    <t xml:space="preserve">If yes, what is the estimated LOD for the method? (Optional) </t>
  </si>
  <si>
    <t xml:space="preserve">Did you laboratory perform an LOD performance verification that included this sample? (Optional) </t>
  </si>
  <si>
    <t xml:space="preserve">If QC materials (i.e., other positive control ATCC strains, negative controls, etc.) were included in the sequencing run, please list them (Optional) </t>
  </si>
  <si>
    <t xml:space="preserve">What was the total number of samples run with this sample material? </t>
  </si>
  <si>
    <t>What is the total sequencing capacity of a typical WGS run that includes libraries for this pathogen?  (i.e. What is the genome load or number of libraries in a typical respiratory pathogen sequencing run?)</t>
  </si>
  <si>
    <t xml:space="preserve">Expected read length? </t>
  </si>
  <si>
    <t xml:space="preserve">Single or paired end? </t>
  </si>
  <si>
    <t>Which sequencing platform did you use?</t>
  </si>
  <si>
    <t xml:space="preserve">Date sequenced? </t>
  </si>
  <si>
    <t>What value was obtained? 6</t>
  </si>
  <si>
    <t>Which quality checkpoints did you use during library preparation? (Optional) 6</t>
  </si>
  <si>
    <t>What value was obtained? 5</t>
  </si>
  <si>
    <t>Which quality checkpoints did you use during library preparation? (Optional) 5</t>
  </si>
  <si>
    <t>What value was obtained? 4</t>
  </si>
  <si>
    <t>Which quality checkpoints did you use during library preparation? (Optional) 4</t>
  </si>
  <si>
    <t>What value was obtained? 3</t>
  </si>
  <si>
    <t>Which quality checkpoints did you use during library preparation? (Optional) 3</t>
  </si>
  <si>
    <t>What value was obtained?2</t>
  </si>
  <si>
    <t>Which quality checkpoints did you use during library preparation? (Optional)2</t>
  </si>
  <si>
    <t xml:space="preserve">What value was obtained? </t>
  </si>
  <si>
    <t xml:space="preserve">Which quality checkpoints did you use during library preparation? (Optional) </t>
  </si>
  <si>
    <t>If automated, what platform did you use for library preparation automation?</t>
  </si>
  <si>
    <t>Library Prep kit name</t>
  </si>
  <si>
    <t xml:space="preserve">Identify the sequencing approach used for each sample </t>
  </si>
  <si>
    <t xml:space="preserve">How many freeze/thaws was the sample subjected to prior to sequencing ? </t>
  </si>
  <si>
    <t xml:space="preserve">What method was used to determine purity? (Optional) </t>
  </si>
  <si>
    <t>If the purity of RNA was measured after sample receipt, what was the value? (Optional)</t>
  </si>
  <si>
    <t xml:space="preserve">What method was used for quantification? (Optional) </t>
  </si>
  <si>
    <t>If RNA was measured after sample receipt (for example, estimated copies/uL or Ct values), what was the quantification? (Optional)</t>
  </si>
  <si>
    <t>If RNA extraction was performed by your lab, what protocol/kit would you have used?</t>
  </si>
  <si>
    <t>Date RNA received?</t>
  </si>
  <si>
    <t xml:space="preserve">Sample ID (add your laboratory's name extension in place of "submittername") </t>
  </si>
  <si>
    <t>Virus Preparation</t>
  </si>
  <si>
    <t>Manifest Name</t>
  </si>
  <si>
    <t>Name</t>
  </si>
  <si>
    <t>Sequencing Run</t>
  </si>
  <si>
    <t xml:space="preserve">Library Preparation </t>
  </si>
  <si>
    <t>Sample Receipt and Preparation</t>
  </si>
  <si>
    <t xml:space="preserve">Sample Identifiers </t>
  </si>
  <si>
    <t>PacBioSequel System</t>
  </si>
  <si>
    <t>PacBio RSII</t>
  </si>
  <si>
    <t>GridION</t>
  </si>
  <si>
    <t>MK1C</t>
  </si>
  <si>
    <t>MinIon</t>
  </si>
  <si>
    <t>Ion Torrent Proton</t>
  </si>
  <si>
    <t>Metagenomic approach</t>
  </si>
  <si>
    <t>Ion Torrent S5</t>
  </si>
  <si>
    <t>SARS-CoV-2/RSV</t>
  </si>
  <si>
    <t>Other</t>
  </si>
  <si>
    <t>Ion Torren PGM</t>
  </si>
  <si>
    <t>SARS-CoV-2/influenza</t>
  </si>
  <si>
    <t xml:space="preserve">Fragment analysis (libraries) </t>
  </si>
  <si>
    <t>Illumian NovaSeq</t>
  </si>
  <si>
    <t>Influenza/RSV protocol</t>
  </si>
  <si>
    <t>Fragment analysis (amplicons)</t>
  </si>
  <si>
    <t>Illumina NextSeq</t>
  </si>
  <si>
    <t>Broad respiratory</t>
  </si>
  <si>
    <t xml:space="preserve">Final pooled library quantification </t>
  </si>
  <si>
    <t>Illumina MiSeq i100</t>
  </si>
  <si>
    <t>SARS-CoV-2 specific</t>
  </si>
  <si>
    <t xml:space="preserve">Individual library quantification </t>
  </si>
  <si>
    <t>Illumina MiSeq</t>
  </si>
  <si>
    <t>RSV specific</t>
  </si>
  <si>
    <t>cDNA quantification</t>
  </si>
  <si>
    <t>Illumina Miniseq</t>
  </si>
  <si>
    <t>Influenza specific</t>
  </si>
  <si>
    <t>Quality checkpoints</t>
  </si>
  <si>
    <t>RNA extraction protocol</t>
  </si>
  <si>
    <t>Which approach was used for sequencing?</t>
  </si>
  <si>
    <t>MIX4-C_1469-777_1-1</t>
  </si>
  <si>
    <t>Naming Scheme: We recommend naming your files with a concatenation of the Sample ID, reference used, and your submitter abbreviation - separated by an underscore. If you populate "Submitter Name For Files" and "Assembly Filename Extension", this sheet will pre-generate that for you. Or, deviate from this schema as necessary for your processes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</si>
</sst>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rgb="FF000000"/>
      <name val="Arial"/>
    </font>
    <font>
      <sz val="10"/>
      <color theme="1"/>
      <name val="Arial"/>
    </font>
    <font>
      <u/>
      <sz val="10"/>
      <color rgb="FF1155CC"/>
      <name val="Arial"/>
    </font>
    <font>
      <sz val="10"/>
      <color rgb="FF000000"/>
      <name val="Roboto"/>
    </font>
    <font>
      <sz val="10"/>
      <color theme="1"/>
      <name val="Arial"/>
    </font>
    <font>
      <u/>
      <sz val="10"/>
      <color rgb="FF1155CC"/>
      <name val="Arial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11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thick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thick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ck">
        <color rgb="FF000000"/>
      </bottom>
      <diagonal/>
    </border>
    <border>
      <left style="medium">
        <color indexed="64"/>
      </left>
      <right/>
      <top style="thick">
        <color rgb="FF000000"/>
      </top>
      <bottom style="thin">
        <color rgb="FF000000"/>
      </bottom>
      <diagonal/>
    </border>
    <border>
      <left style="medium">
        <color indexed="64"/>
      </left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138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0" borderId="5" xfId="0" applyFont="1" applyBorder="1"/>
    <xf numFmtId="0" fontId="2" fillId="3" borderId="0" xfId="0" applyFont="1" applyFill="1"/>
    <xf numFmtId="0" fontId="2" fillId="3" borderId="7" xfId="0" applyFont="1" applyFill="1" applyBorder="1"/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3" borderId="3" xfId="0" applyFont="1" applyFill="1" applyBorder="1" applyAlignment="1">
      <alignment wrapText="1"/>
    </xf>
    <xf numFmtId="0" fontId="2" fillId="3" borderId="0" xfId="0" applyFont="1" applyFill="1" applyAlignment="1">
      <alignment wrapText="1"/>
    </xf>
    <xf numFmtId="0" fontId="2" fillId="0" borderId="9" xfId="0" applyFont="1" applyBorder="1"/>
    <xf numFmtId="0" fontId="2" fillId="3" borderId="10" xfId="0" applyFont="1" applyFill="1" applyBorder="1" applyAlignment="1">
      <alignment wrapText="1"/>
    </xf>
    <xf numFmtId="0" fontId="2" fillId="3" borderId="10" xfId="0" applyFont="1" applyFill="1" applyBorder="1"/>
    <xf numFmtId="0" fontId="2" fillId="3" borderId="11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0" fontId="2" fillId="2" borderId="15" xfId="0" applyFont="1" applyFill="1" applyBorder="1"/>
    <xf numFmtId="0" fontId="2" fillId="0" borderId="16" xfId="0" applyFont="1" applyBorder="1"/>
    <xf numFmtId="0" fontId="4" fillId="0" borderId="0" xfId="0" applyFont="1"/>
    <xf numFmtId="0" fontId="5" fillId="0" borderId="0" xfId="0" applyFont="1"/>
    <xf numFmtId="0" fontId="4" fillId="0" borderId="7" xfId="0" applyFont="1" applyBorder="1"/>
    <xf numFmtId="0" fontId="6" fillId="0" borderId="0" xfId="0" applyFont="1"/>
    <xf numFmtId="0" fontId="2" fillId="0" borderId="17" xfId="0" applyFont="1" applyBorder="1"/>
    <xf numFmtId="0" fontId="2" fillId="0" borderId="18" xfId="0" applyFont="1" applyBorder="1"/>
    <xf numFmtId="0" fontId="4" fillId="0" borderId="18" xfId="0" applyFont="1" applyBorder="1"/>
    <xf numFmtId="0" fontId="5" fillId="0" borderId="18" xfId="0" applyFont="1" applyBorder="1"/>
    <xf numFmtId="0" fontId="4" fillId="0" borderId="19" xfId="0" applyFont="1" applyBorder="1"/>
    <xf numFmtId="0" fontId="5" fillId="4" borderId="0" xfId="0" applyFont="1" applyFill="1"/>
    <xf numFmtId="0" fontId="7" fillId="4" borderId="0" xfId="0" applyFont="1" applyFill="1"/>
    <xf numFmtId="0" fontId="7" fillId="4" borderId="7" xfId="0" applyFont="1" applyFill="1" applyBorder="1"/>
    <xf numFmtId="0" fontId="2" fillId="0" borderId="7" xfId="0" applyFont="1" applyBorder="1"/>
    <xf numFmtId="0" fontId="5" fillId="4" borderId="18" xfId="0" applyFont="1" applyFill="1" applyBorder="1"/>
    <xf numFmtId="0" fontId="7" fillId="4" borderId="18" xfId="0" applyFont="1" applyFill="1" applyBorder="1"/>
    <xf numFmtId="0" fontId="2" fillId="0" borderId="19" xfId="0" applyFont="1" applyBorder="1"/>
    <xf numFmtId="0" fontId="4" fillId="0" borderId="20" xfId="0" applyFont="1" applyBorder="1"/>
    <xf numFmtId="0" fontId="8" fillId="0" borderId="21" xfId="0" applyFont="1" applyBorder="1"/>
    <xf numFmtId="0" fontId="8" fillId="0" borderId="22" xfId="0" applyFont="1" applyBorder="1"/>
    <xf numFmtId="0" fontId="9" fillId="0" borderId="18" xfId="0" applyFont="1" applyBorder="1"/>
    <xf numFmtId="0" fontId="5" fillId="0" borderId="20" xfId="0" applyFont="1" applyBorder="1"/>
    <xf numFmtId="0" fontId="2" fillId="0" borderId="23" xfId="0" applyFont="1" applyBorder="1"/>
    <xf numFmtId="0" fontId="2" fillId="0" borderId="24" xfId="0" applyFont="1" applyBorder="1"/>
    <xf numFmtId="0" fontId="4" fillId="0" borderId="24" xfId="0" applyFont="1" applyBorder="1"/>
    <xf numFmtId="0" fontId="5" fillId="0" borderId="24" xfId="0" applyFont="1" applyBorder="1"/>
    <xf numFmtId="0" fontId="2" fillId="0" borderId="25" xfId="0" applyFont="1" applyBorder="1"/>
    <xf numFmtId="0" fontId="7" fillId="4" borderId="24" xfId="0" applyFont="1" applyFill="1" applyBorder="1"/>
    <xf numFmtId="0" fontId="4" fillId="4" borderId="24" xfId="0" applyFont="1" applyFill="1" applyBorder="1"/>
    <xf numFmtId="0" fontId="2" fillId="0" borderId="26" xfId="0" applyFont="1" applyBorder="1"/>
    <xf numFmtId="0" fontId="4" fillId="4" borderId="26" xfId="0" applyFont="1" applyFill="1" applyBorder="1"/>
    <xf numFmtId="0" fontId="5" fillId="0" borderId="26" xfId="0" applyFont="1" applyBorder="1"/>
    <xf numFmtId="0" fontId="2" fillId="0" borderId="6" xfId="0" applyFont="1" applyBorder="1"/>
    <xf numFmtId="0" fontId="2" fillId="0" borderId="29" xfId="0" applyFont="1" applyBorder="1"/>
    <xf numFmtId="0" fontId="10" fillId="5" borderId="29" xfId="0" applyFont="1" applyFill="1" applyBorder="1" applyAlignment="1">
      <alignment vertical="center" wrapText="1"/>
    </xf>
    <xf numFmtId="0" fontId="5" fillId="0" borderId="30" xfId="0" applyFont="1" applyBorder="1"/>
    <xf numFmtId="0" fontId="4" fillId="0" borderId="29" xfId="0" applyFont="1" applyBorder="1"/>
    <xf numFmtId="0" fontId="5" fillId="0" borderId="29" xfId="0" applyFont="1" applyBorder="1"/>
    <xf numFmtId="0" fontId="10" fillId="5" borderId="31" xfId="0" applyFont="1" applyFill="1" applyBorder="1" applyAlignment="1">
      <alignment vertical="center" wrapText="1"/>
    </xf>
    <xf numFmtId="0" fontId="11" fillId="0" borderId="31" xfId="0" applyFont="1" applyBorder="1"/>
    <xf numFmtId="0" fontId="4" fillId="0" borderId="31" xfId="0" applyFont="1" applyBorder="1"/>
    <xf numFmtId="0" fontId="5" fillId="0" borderId="31" xfId="0" applyFont="1" applyBorder="1"/>
    <xf numFmtId="0" fontId="2" fillId="0" borderId="32" xfId="0" applyFont="1" applyBorder="1"/>
    <xf numFmtId="0" fontId="10" fillId="5" borderId="32" xfId="0" applyFont="1" applyFill="1" applyBorder="1" applyAlignment="1">
      <alignment vertical="center" wrapText="1"/>
    </xf>
    <xf numFmtId="0" fontId="4" fillId="0" borderId="32" xfId="0" applyFont="1" applyBorder="1"/>
    <xf numFmtId="0" fontId="5" fillId="0" borderId="32" xfId="0" applyFont="1" applyBorder="1"/>
    <xf numFmtId="0" fontId="0" fillId="0" borderId="29" xfId="0" applyBorder="1"/>
    <xf numFmtId="0" fontId="11" fillId="0" borderId="32" xfId="0" applyFont="1" applyBorder="1"/>
    <xf numFmtId="0" fontId="0" fillId="0" borderId="32" xfId="0" applyBorder="1"/>
    <xf numFmtId="0" fontId="11" fillId="0" borderId="29" xfId="0" applyFont="1" applyBorder="1"/>
    <xf numFmtId="0" fontId="2" fillId="2" borderId="33" xfId="0" applyFont="1" applyFill="1" applyBorder="1"/>
    <xf numFmtId="0" fontId="2" fillId="2" borderId="34" xfId="0" applyFont="1" applyFill="1" applyBorder="1"/>
    <xf numFmtId="0" fontId="2" fillId="2" borderId="35" xfId="0" applyFont="1" applyFill="1" applyBorder="1"/>
    <xf numFmtId="0" fontId="2" fillId="2" borderId="36" xfId="0" applyFont="1" applyFill="1" applyBorder="1"/>
    <xf numFmtId="0" fontId="2" fillId="0" borderId="37" xfId="0" applyFont="1" applyBorder="1"/>
    <xf numFmtId="0" fontId="4" fillId="0" borderId="28" xfId="0" applyFont="1" applyBorder="1"/>
    <xf numFmtId="0" fontId="4" fillId="0" borderId="38" xfId="0" applyFont="1" applyBorder="1"/>
    <xf numFmtId="0" fontId="2" fillId="0" borderId="39" xfId="0" applyFont="1" applyBorder="1"/>
    <xf numFmtId="0" fontId="4" fillId="0" borderId="40" xfId="0" applyFont="1" applyBorder="1"/>
    <xf numFmtId="0" fontId="2" fillId="0" borderId="41" xfId="0" applyFont="1" applyBorder="1"/>
    <xf numFmtId="0" fontId="2" fillId="0" borderId="42" xfId="0" applyFont="1" applyBorder="1"/>
    <xf numFmtId="0" fontId="2" fillId="0" borderId="28" xfId="0" applyFont="1" applyBorder="1"/>
    <xf numFmtId="0" fontId="4" fillId="0" borderId="42" xfId="0" applyFont="1" applyBorder="1"/>
    <xf numFmtId="0" fontId="7" fillId="4" borderId="40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2" fillId="0" borderId="44" xfId="0" applyFont="1" applyBorder="1"/>
    <xf numFmtId="0" fontId="10" fillId="5" borderId="44" xfId="0" applyFont="1" applyFill="1" applyBorder="1" applyAlignment="1">
      <alignment vertical="center" wrapText="1"/>
    </xf>
    <xf numFmtId="0" fontId="4" fillId="0" borderId="44" xfId="0" applyFont="1" applyBorder="1"/>
    <xf numFmtId="0" fontId="1" fillId="0" borderId="0" xfId="1"/>
    <xf numFmtId="0" fontId="1" fillId="0" borderId="45" xfId="1" applyBorder="1"/>
    <xf numFmtId="0" fontId="1" fillId="0" borderId="29" xfId="1" applyBorder="1"/>
    <xf numFmtId="0" fontId="1" fillId="0" borderId="29" xfId="1" applyBorder="1" applyAlignment="1">
      <alignment wrapText="1"/>
    </xf>
    <xf numFmtId="0" fontId="1" fillId="0" borderId="31" xfId="1" applyBorder="1"/>
    <xf numFmtId="0" fontId="1" fillId="0" borderId="31" xfId="1" applyBorder="1" applyAlignment="1">
      <alignment wrapText="1"/>
    </xf>
    <xf numFmtId="0" fontId="14" fillId="5" borderId="31" xfId="1" applyFont="1" applyFill="1" applyBorder="1" applyAlignment="1">
      <alignment vertical="center" wrapText="1"/>
    </xf>
    <xf numFmtId="0" fontId="14" fillId="5" borderId="29" xfId="1" applyFont="1" applyFill="1" applyBorder="1" applyAlignment="1">
      <alignment vertical="center" wrapText="1"/>
    </xf>
    <xf numFmtId="0" fontId="14" fillId="5" borderId="0" xfId="1" applyFont="1" applyFill="1" applyAlignment="1">
      <alignment vertical="center" wrapText="1"/>
    </xf>
    <xf numFmtId="0" fontId="15" fillId="5" borderId="46" xfId="1" applyFont="1" applyFill="1" applyBorder="1" applyAlignment="1">
      <alignment vertical="center" wrapText="1"/>
    </xf>
    <xf numFmtId="0" fontId="15" fillId="0" borderId="0" xfId="1" applyFont="1" applyAlignment="1">
      <alignment wrapText="1"/>
    </xf>
    <xf numFmtId="0" fontId="14" fillId="5" borderId="46" xfId="1" applyFont="1" applyFill="1" applyBorder="1" applyAlignment="1">
      <alignment vertical="center" wrapText="1"/>
    </xf>
    <xf numFmtId="0" fontId="15" fillId="5" borderId="0" xfId="1" applyFont="1" applyFill="1" applyAlignment="1">
      <alignment vertical="center" wrapText="1"/>
    </xf>
    <xf numFmtId="0" fontId="13" fillId="0" borderId="0" xfId="1" applyFont="1" applyAlignment="1">
      <alignment wrapText="1"/>
    </xf>
    <xf numFmtId="0" fontId="16" fillId="6" borderId="45" xfId="1" applyFont="1" applyFill="1" applyBorder="1" applyAlignment="1">
      <alignment vertical="center" wrapText="1"/>
    </xf>
    <xf numFmtId="0" fontId="16" fillId="6" borderId="0" xfId="1" applyFont="1" applyFill="1" applyAlignment="1">
      <alignment vertical="center" wrapText="1"/>
    </xf>
    <xf numFmtId="0" fontId="16" fillId="7" borderId="0" xfId="1" applyFont="1" applyFill="1" applyAlignment="1">
      <alignment vertical="center" wrapText="1"/>
    </xf>
    <xf numFmtId="0" fontId="16" fillId="8" borderId="0" xfId="1" applyFont="1" applyFill="1" applyAlignment="1">
      <alignment vertical="center" wrapText="1"/>
    </xf>
    <xf numFmtId="0" fontId="16" fillId="5" borderId="0" xfId="1" applyFont="1" applyFill="1" applyAlignment="1">
      <alignment vertical="center" wrapText="1"/>
    </xf>
    <xf numFmtId="0" fontId="1" fillId="0" borderId="0" xfId="1" applyAlignment="1">
      <alignment wrapText="1"/>
    </xf>
    <xf numFmtId="0" fontId="10" fillId="5" borderId="0" xfId="0" applyFont="1" applyFill="1" applyAlignment="1">
      <alignment vertical="center" wrapText="1"/>
    </xf>
    <xf numFmtId="0" fontId="11" fillId="0" borderId="0" xfId="0" applyFont="1"/>
    <xf numFmtId="0" fontId="2" fillId="2" borderId="50" xfId="0" applyFont="1" applyFill="1" applyBorder="1"/>
    <xf numFmtId="0" fontId="2" fillId="2" borderId="51" xfId="0" applyFont="1" applyFill="1" applyBorder="1"/>
    <xf numFmtId="0" fontId="2" fillId="3" borderId="53" xfId="0" applyFont="1" applyFill="1" applyBorder="1"/>
    <xf numFmtId="0" fontId="2" fillId="3" borderId="54" xfId="0" applyFont="1" applyFill="1" applyBorder="1"/>
    <xf numFmtId="0" fontId="2" fillId="0" borderId="55" xfId="0" applyFont="1" applyBorder="1"/>
    <xf numFmtId="0" fontId="2" fillId="3" borderId="42" xfId="0" applyFont="1" applyFill="1" applyBorder="1"/>
    <xf numFmtId="0" fontId="2" fillId="2" borderId="56" xfId="0" applyFont="1" applyFill="1" applyBorder="1" applyAlignment="1">
      <alignment vertical="center"/>
    </xf>
    <xf numFmtId="0" fontId="2" fillId="0" borderId="57" xfId="0" applyFont="1" applyBorder="1"/>
    <xf numFmtId="0" fontId="0" fillId="0" borderId="40" xfId="0" applyBorder="1"/>
    <xf numFmtId="0" fontId="0" fillId="0" borderId="42" xfId="0" applyBorder="1"/>
    <xf numFmtId="0" fontId="0" fillId="0" borderId="28" xfId="0" applyBorder="1"/>
    <xf numFmtId="0" fontId="0" fillId="0" borderId="44" xfId="0" applyBorder="1"/>
    <xf numFmtId="0" fontId="0" fillId="0" borderId="27" xfId="0" applyBorder="1"/>
    <xf numFmtId="0" fontId="2" fillId="0" borderId="0" xfId="0" applyFont="1" applyAlignment="1">
      <alignment wrapText="1"/>
    </xf>
    <xf numFmtId="0" fontId="0" fillId="0" borderId="0" xfId="0"/>
    <xf numFmtId="0" fontId="2" fillId="2" borderId="1" xfId="0" applyFont="1" applyFill="1" applyBorder="1"/>
    <xf numFmtId="0" fontId="3" fillId="0" borderId="2" xfId="0" applyFont="1" applyBorder="1"/>
    <xf numFmtId="0" fontId="2" fillId="0" borderId="5" xfId="0" applyFont="1" applyBorder="1"/>
    <xf numFmtId="0" fontId="3" fillId="0" borderId="6" xfId="0" applyFont="1" applyBorder="1"/>
    <xf numFmtId="0" fontId="13" fillId="0" borderId="48" xfId="1" applyFont="1" applyBorder="1" applyAlignment="1">
      <alignment horizontal="center"/>
    </xf>
    <xf numFmtId="0" fontId="13" fillId="0" borderId="31" xfId="1" applyFont="1" applyBorder="1" applyAlignment="1">
      <alignment horizontal="center"/>
    </xf>
    <xf numFmtId="0" fontId="13" fillId="0" borderId="47" xfId="1" applyFont="1" applyBorder="1" applyAlignment="1">
      <alignment horizontal="center"/>
    </xf>
    <xf numFmtId="0" fontId="13" fillId="0" borderId="0" xfId="1" applyFont="1" applyAlignment="1">
      <alignment horizontal="center"/>
    </xf>
    <xf numFmtId="0" fontId="13" fillId="0" borderId="49" xfId="1" applyFont="1" applyBorder="1" applyAlignment="1">
      <alignment horizontal="center"/>
    </xf>
    <xf numFmtId="0" fontId="2" fillId="2" borderId="51" xfId="0" applyFont="1" applyFill="1" applyBorder="1"/>
    <xf numFmtId="0" fontId="3" fillId="0" borderId="52" xfId="0" applyFont="1" applyBorder="1"/>
  </cellXfs>
  <cellStyles count="2">
    <cellStyle name="Normal" xfId="0" builtinId="0"/>
    <cellStyle name="Normal 2" xfId="1" xr:uid="{2CB2152C-1F47-4F87-878B-CDEEE0D6AAFE}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82613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CD0DBC-BA7D-4DB9-B398-85465B3798B2}" name="Table1" displayName="Table1" ref="A2:AM17" totalsRowShown="0" headerRowDxfId="40" dataDxfId="39">
  <autoFilter ref="A2:AM17" xr:uid="{8313F195-D4FF-4FE7-AC96-1023929E23A5}"/>
  <tableColumns count="39">
    <tableColumn id="1" xr3:uid="{1EA59E21-9943-4F5D-931E-3D8DBE44B2AB}" name="Name" dataDxfId="38"/>
    <tableColumn id="2" xr3:uid="{B7F8AD54-3B88-4242-BAFC-ECFD4EC1EFF7}" name="Manifest Name" dataDxfId="37"/>
    <tableColumn id="3" xr3:uid="{C3C36E7B-A6BA-4265-84FB-832CF522BCED}" name="Virus Preparation" dataDxfId="36"/>
    <tableColumn id="4" xr3:uid="{6B8F35AE-DC40-455B-8854-0E657F1F1AC3}" name="Sample ID (add your laboratory's name extension in place of &quot;submittername&quot;) " dataDxfId="35"/>
    <tableColumn id="18" xr3:uid="{8065C9BE-5123-42F9-A113-6535472F2355}" name="Date RNA received?" dataDxfId="34"/>
    <tableColumn id="9" xr3:uid="{46BFBA35-4B05-459E-95FB-3A60F9AA1BF3}" name="If RNA extraction was performed by your lab, what protocol/kit would you have used?" dataDxfId="33"/>
    <tableColumn id="19" xr3:uid="{BA7B0FC5-649E-421E-B411-39CB1E632545}" name="If RNA was measured after sample receipt (for example, estimated copies/uL or Ct values), what was the quantification? (Optional)" dataDxfId="32"/>
    <tableColumn id="17" xr3:uid="{C6A9ADC1-0AE3-40C8-A27C-5613379E421B}" name="What method was used for quantification? (Optional) " dataDxfId="31"/>
    <tableColumn id="13" xr3:uid="{D822979B-DD28-4126-A29F-9899801ACA76}" name="If the purity of RNA was measured after sample receipt, what was the value? (Optional)" dataDxfId="30"/>
    <tableColumn id="21" xr3:uid="{E1F93C70-35B7-4167-822B-142072A58C2B}" name="What method was used to determine purity? (Optional) " dataDxfId="29"/>
    <tableColumn id="14" xr3:uid="{9797C70B-7D87-41FB-AEF0-E631F6F78E31}" name="How many freeze/thaws was the sample subjected to prior to sequencing ? " dataDxfId="28"/>
    <tableColumn id="11" xr3:uid="{B9C6F274-335F-4D5B-9711-66E21601F295}" name="Identify the sequencing approach used for each sample " dataDxfId="27"/>
    <tableColumn id="10" xr3:uid="{01926F94-D17E-4799-81D6-D6A780F53933}" name="Library Prep kit name" dataDxfId="26"/>
    <tableColumn id="30" xr3:uid="{19CA80CA-E590-4F44-B547-21FE73E111A6}" name="If automated, what platform did you use for library preparation automation?" dataDxfId="25"/>
    <tableColumn id="32" xr3:uid="{2EB247C9-648C-4F94-84CA-4D298FF0642D}" name="Which quality checkpoints did you use during library preparation? (Optional) " dataDxfId="24"/>
    <tableColumn id="15" xr3:uid="{BF5711D7-E397-4374-A1DD-C0B3B27F0C81}" name="What value was obtained? " dataDxfId="23"/>
    <tableColumn id="6" xr3:uid="{29B9703A-B3D9-4A98-AEC2-38C72EE55011}" name="Which quality checkpoints did you use during library preparation? (Optional)2" dataDxfId="22"/>
    <tableColumn id="24" xr3:uid="{9E3857A3-F3EF-45D6-B71F-8103340ED931}" name="What value was obtained?2" dataDxfId="21"/>
    <tableColumn id="23" xr3:uid="{0CE0C105-577E-4ECE-8C1A-27DB146857ED}" name="Which quality checkpoints did you use during library preparation? (Optional) 3" dataDxfId="20"/>
    <tableColumn id="22" xr3:uid="{27FF3F75-5D4F-4013-9114-C53284794220}" name="What value was obtained? 3" dataDxfId="19"/>
    <tableColumn id="37" xr3:uid="{83A83EB4-5972-4ECF-B955-BBD2F7B7E6B4}" name="Which quality checkpoints did you use during library preparation? (Optional) 4" dataDxfId="18"/>
    <tableColumn id="34" xr3:uid="{56E3B5BE-DBF0-4D11-A2D9-CAD31CE3E67F}" name="What value was obtained? 4" dataDxfId="17"/>
    <tableColumn id="31" xr3:uid="{762324C9-FD09-41AC-A413-85A407E4752B}" name="Which quality checkpoints did you use during library preparation? (Optional) 5" dataDxfId="16"/>
    <tableColumn id="20" xr3:uid="{F822657F-7EC1-47AC-BC9E-51E68A9C6247}" name="What value was obtained? 5" dataDxfId="15"/>
    <tableColumn id="39" xr3:uid="{5D6BA27B-8C5A-4068-B23C-C3E67E2DCBC0}" name="Which quality checkpoints did you use during library preparation? (Optional) 6" dataDxfId="14"/>
    <tableColumn id="38" xr3:uid="{C813C3DD-F370-44A2-B65E-823EA16554C9}" name="What value was obtained? 6" dataDxfId="13"/>
    <tableColumn id="29" xr3:uid="{855B323C-9F4A-4692-A0DE-470C2C763373}" name="Date sequenced? " dataDxfId="12"/>
    <tableColumn id="16" xr3:uid="{E1668DF0-FADA-480F-AED5-89A3EAD5C386}" name="Which sequencing platform did you use?" dataDxfId="11"/>
    <tableColumn id="35" xr3:uid="{CB4E7780-CE21-4153-B9E1-2812E759324F}" name="Single or paired end? " dataDxfId="10"/>
    <tableColumn id="33" xr3:uid="{C45B7FEA-C212-4C47-9179-FA9FBAB47065}" name="Expected read length? " dataDxfId="9"/>
    <tableColumn id="36" xr3:uid="{0D7F1C48-4567-43AD-A9F8-21B3F0E1B298}" name="What is the total sequencing capacity of a typical WGS run that includes libraries for this pathogen?  (i.e. What is the genome load or number of libraries in a typical respiratory pathogen sequencing run?)" dataDxfId="8"/>
    <tableColumn id="41" xr3:uid="{53855BC7-3009-4415-BC1B-5A32F6666D2E}" name="What was the total number of samples run with this sample material? " dataDxfId="7"/>
    <tableColumn id="5" xr3:uid="{C95A63FE-8B2E-4596-B6A2-466742C2AC9E}" name="If QC materials (i.e., other positive control ATCC strains, negative controls, etc.) were included in the sequencing run, please list them (Optional) " dataDxfId="6"/>
    <tableColumn id="25" xr3:uid="{3F5F757D-9F0B-4F9B-BBD8-EBD193E276B9}" name="Did you laboratory perform an LOD performance verification that included this sample? (Optional) " dataDxfId="5"/>
    <tableColumn id="26" xr3:uid="{44BCE9F5-E51E-4A6A-8990-8D3EEAFB2090}" name="If yes, what is the estimated LOD for the method? (Optional) " dataDxfId="4"/>
    <tableColumn id="8" xr3:uid="{EAA0A301-1182-4AC9-9181-0974265554C0}" name="Does your laboratory have acceptability criteria for sequencing run metrics?" dataDxfId="3"/>
    <tableColumn id="40" xr3:uid="{2AB5CCD4-822E-4CC2-924F-968807D8D191}" name="Please describe the run-level metrics evaluated" dataDxfId="2"/>
    <tableColumn id="27" xr3:uid="{0F3D2F86-39B8-4A27-81EB-65930C4B9CE8}" name="Did the sequencing run including this sample pass the run-level metrics? " dataDxfId="1"/>
    <tableColumn id="7" xr3:uid="{9AA21B4D-14C8-4A50-8CB0-EB8AA993BB89}" name="Please provide a link (protocols.io, GitHub, OneDrive, etc.) to the protocol used for library prep, if available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974548-0F66-4C8A-A62E-680285118A82}" name="Table2" displayName="Table2" ref="A1:D14" totalsRowShown="0">
  <autoFilter ref="A1:D14" xr:uid="{FAED342A-4D28-4216-866C-D8271E8DD1A0}"/>
  <tableColumns count="4">
    <tableColumn id="1" xr3:uid="{2DCAA39C-BF93-4D0F-9146-2C6B576252F4}" name="Which approach was used for sequencing?"/>
    <tableColumn id="2" xr3:uid="{6D4EC80C-2011-442D-A273-9C057E2D1483}" name="RNA extraction protocol"/>
    <tableColumn id="3" xr3:uid="{4CFB689E-D163-48CA-994B-5B3C52FA41AB}" name="Which sequencing platform did you use?"/>
    <tableColumn id="4" xr3:uid="{88C942AC-978A-4CBE-B90D-5C3AACE87D49}" name="Quality checkpoint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U130"/>
  <sheetViews>
    <sheetView workbookViewId="0">
      <selection activeCell="B13" sqref="B13"/>
    </sheetView>
  </sheetViews>
  <sheetFormatPr defaultColWidth="12.59765625" defaultRowHeight="15.75" customHeight="1" x14ac:dyDescent="0.35"/>
  <cols>
    <col min="1" max="1" width="2.86328125" customWidth="1"/>
    <col min="2" max="3" width="54.73046875" customWidth="1"/>
    <col min="4" max="4" width="11.86328125" customWidth="1"/>
    <col min="5" max="5" width="22.59765625" customWidth="1"/>
    <col min="6" max="6" width="13" customWidth="1"/>
    <col min="7" max="7" width="7.265625" customWidth="1"/>
    <col min="8" max="8" width="16.265625" customWidth="1"/>
    <col min="9" max="9" width="14.1328125" customWidth="1"/>
    <col min="10" max="10" width="18" customWidth="1"/>
    <col min="11" max="11" width="49.265625" customWidth="1"/>
    <col min="12" max="12" width="45.59765625" customWidth="1"/>
    <col min="13" max="13" width="20.3984375" customWidth="1"/>
    <col min="14" max="14" width="34.59765625" customWidth="1"/>
  </cols>
  <sheetData>
    <row r="1" spans="1:21" ht="12.75" x14ac:dyDescent="0.35">
      <c r="A1" s="1"/>
      <c r="B1" s="125" t="s">
        <v>0</v>
      </c>
      <c r="C1" s="126"/>
      <c r="D1" s="126"/>
      <c r="E1" s="126"/>
      <c r="F1" s="126"/>
      <c r="G1" s="126"/>
      <c r="H1" s="126"/>
      <c r="I1" s="126"/>
    </row>
    <row r="2" spans="1:21" ht="12.75" x14ac:dyDescent="0.35">
      <c r="A2" s="1"/>
      <c r="B2" s="2" t="s">
        <v>1</v>
      </c>
      <c r="C2" s="2" t="s">
        <v>2</v>
      </c>
      <c r="D2" s="127" t="s">
        <v>3</v>
      </c>
      <c r="E2" s="128"/>
      <c r="F2" s="3"/>
      <c r="G2" s="3"/>
      <c r="H2" s="3"/>
      <c r="I2" s="3"/>
      <c r="J2" s="3"/>
      <c r="K2" s="3"/>
      <c r="L2" s="3"/>
      <c r="M2" s="3"/>
      <c r="N2" s="4"/>
    </row>
    <row r="3" spans="1:21" ht="24.75" customHeight="1" x14ac:dyDescent="0.35">
      <c r="A3" s="1"/>
      <c r="B3" s="5"/>
      <c r="C3" s="5"/>
      <c r="D3" s="129"/>
      <c r="E3" s="130"/>
      <c r="F3" s="6"/>
      <c r="G3" s="6"/>
      <c r="H3" s="6"/>
      <c r="I3" s="6"/>
      <c r="J3" s="6"/>
      <c r="K3" s="6"/>
      <c r="L3" s="6"/>
      <c r="M3" s="6"/>
      <c r="N3" s="7"/>
    </row>
    <row r="4" spans="1:21" ht="12.75" x14ac:dyDescent="0.35">
      <c r="A4" s="8"/>
      <c r="B4" s="9" t="s">
        <v>4</v>
      </c>
      <c r="C4" s="10" t="s">
        <v>5</v>
      </c>
      <c r="D4" s="11"/>
      <c r="E4" s="12"/>
      <c r="F4" s="12"/>
      <c r="G4" s="12"/>
      <c r="H4" s="12"/>
      <c r="I4" s="12"/>
      <c r="J4" s="6"/>
      <c r="K4" s="6"/>
      <c r="L4" s="6"/>
      <c r="M4" s="6"/>
      <c r="N4" s="7"/>
    </row>
    <row r="5" spans="1:21" ht="24.75" customHeight="1" x14ac:dyDescent="0.35">
      <c r="A5" s="1"/>
      <c r="B5" s="13" t="s">
        <v>6</v>
      </c>
      <c r="C5" s="13" t="s">
        <v>7</v>
      </c>
      <c r="D5" s="14"/>
      <c r="E5" s="14"/>
      <c r="F5" s="14"/>
      <c r="G5" s="14"/>
      <c r="H5" s="14"/>
      <c r="I5" s="14"/>
      <c r="J5" s="15"/>
      <c r="K5" s="15"/>
      <c r="L5" s="15"/>
      <c r="M5" s="15"/>
      <c r="N5" s="16"/>
    </row>
    <row r="6" spans="1:21" ht="12.75" x14ac:dyDescent="0.35">
      <c r="A6" s="1"/>
      <c r="B6" s="17" t="s">
        <v>8</v>
      </c>
      <c r="C6" s="18" t="s">
        <v>9</v>
      </c>
      <c r="D6" s="19" t="s">
        <v>10</v>
      </c>
      <c r="E6" s="19" t="s">
        <v>11</v>
      </c>
      <c r="F6" s="19" t="s">
        <v>12</v>
      </c>
      <c r="G6" s="19" t="s">
        <v>13</v>
      </c>
      <c r="H6" s="19" t="s">
        <v>14</v>
      </c>
      <c r="I6" s="19" t="s">
        <v>14</v>
      </c>
      <c r="J6" s="19" t="s">
        <v>15</v>
      </c>
      <c r="K6" s="19" t="s">
        <v>16</v>
      </c>
      <c r="L6" s="19" t="s">
        <v>17</v>
      </c>
      <c r="M6" s="19" t="s">
        <v>18</v>
      </c>
      <c r="N6" s="20" t="s">
        <v>19</v>
      </c>
    </row>
    <row r="7" spans="1:21" ht="12.75" x14ac:dyDescent="0.35">
      <c r="B7" s="21" t="str">
        <f t="shared" ref="B7:B130" si="0">D7 &amp; "_" &amp; F7 &amp; "_" &amp; B$5</f>
        <v>SRR28460520_NC_002204.1_submittername</v>
      </c>
      <c r="C7" s="1" t="str">
        <f t="shared" ref="C7:C130" si="1">D7 &amp; "_" &amp; F7 &amp; "_" &amp; B$5 &amp; "." &amp; C$5</f>
        <v>SRR28460520_NC_002204.1_submittername.fa</v>
      </c>
      <c r="D7" s="22" t="s">
        <v>20</v>
      </c>
      <c r="E7" s="22" t="s">
        <v>21</v>
      </c>
      <c r="F7" s="22" t="s">
        <v>22</v>
      </c>
      <c r="G7" s="22" t="s">
        <v>23</v>
      </c>
      <c r="H7" s="23" t="s">
        <v>24</v>
      </c>
      <c r="I7" s="23" t="s">
        <v>25</v>
      </c>
      <c r="J7" s="22"/>
      <c r="K7" s="22"/>
      <c r="L7" s="22"/>
      <c r="M7" s="22"/>
      <c r="N7" s="24"/>
      <c r="O7" s="22"/>
      <c r="P7" s="25"/>
      <c r="Q7" s="22"/>
      <c r="R7" s="22"/>
      <c r="S7" s="22"/>
      <c r="T7" s="22"/>
      <c r="U7" s="22"/>
    </row>
    <row r="8" spans="1:21" ht="12.75" x14ac:dyDescent="0.35">
      <c r="B8" s="21" t="str">
        <f t="shared" si="0"/>
        <v>SRR28460520_NC_002205.1_submittername</v>
      </c>
      <c r="C8" s="1" t="str">
        <f t="shared" si="1"/>
        <v>SRR28460520_NC_002205.1_submittername.fa</v>
      </c>
      <c r="D8" s="22" t="s">
        <v>20</v>
      </c>
      <c r="E8" s="22" t="s">
        <v>26</v>
      </c>
      <c r="F8" s="22" t="s">
        <v>27</v>
      </c>
      <c r="G8" s="22" t="s">
        <v>23</v>
      </c>
      <c r="H8" s="23" t="s">
        <v>24</v>
      </c>
      <c r="I8" s="23" t="s">
        <v>25</v>
      </c>
      <c r="J8" s="22"/>
      <c r="K8" s="22"/>
      <c r="L8" s="22"/>
      <c r="M8" s="22"/>
      <c r="N8" s="24"/>
      <c r="O8" s="22"/>
      <c r="P8" s="25"/>
      <c r="Q8" s="22"/>
      <c r="R8" s="22"/>
      <c r="S8" s="22"/>
      <c r="T8" s="22"/>
      <c r="U8" s="22"/>
    </row>
    <row r="9" spans="1:21" ht="12.75" x14ac:dyDescent="0.35">
      <c r="B9" s="21" t="str">
        <f t="shared" si="0"/>
        <v>SRR28460520_NC_002206.1_submittername</v>
      </c>
      <c r="C9" s="1" t="str">
        <f t="shared" si="1"/>
        <v>SRR28460520_NC_002206.1_submittername.fa</v>
      </c>
      <c r="D9" s="22" t="s">
        <v>20</v>
      </c>
      <c r="E9" s="22" t="s">
        <v>28</v>
      </c>
      <c r="F9" s="22" t="s">
        <v>29</v>
      </c>
      <c r="G9" s="22" t="s">
        <v>23</v>
      </c>
      <c r="H9" s="23" t="s">
        <v>24</v>
      </c>
      <c r="I9" s="23" t="s">
        <v>25</v>
      </c>
      <c r="J9" s="22"/>
      <c r="K9" s="22"/>
      <c r="L9" s="22"/>
      <c r="M9" s="22"/>
      <c r="N9" s="24"/>
      <c r="O9" s="22"/>
      <c r="P9" s="25"/>
      <c r="Q9" s="22"/>
      <c r="R9" s="22"/>
      <c r="S9" s="22"/>
      <c r="T9" s="22"/>
      <c r="U9" s="22"/>
    </row>
    <row r="10" spans="1:21" ht="12.75" x14ac:dyDescent="0.35">
      <c r="B10" s="21" t="str">
        <f>D10 &amp; "_" &amp; F10 &amp; "_" &amp; B$5</f>
        <v>SRR28460520_NC_002207.1_submittername</v>
      </c>
      <c r="C10" s="1" t="str">
        <f t="shared" si="1"/>
        <v>SRR28460520_NC_002207.1_submittername.fa</v>
      </c>
      <c r="D10" s="22" t="s">
        <v>20</v>
      </c>
      <c r="E10" s="22" t="s">
        <v>30</v>
      </c>
      <c r="F10" s="22" t="s">
        <v>31</v>
      </c>
      <c r="G10" s="22" t="s">
        <v>23</v>
      </c>
      <c r="H10" s="23" t="s">
        <v>24</v>
      </c>
      <c r="I10" s="23" t="s">
        <v>25</v>
      </c>
      <c r="J10" s="22"/>
      <c r="K10" s="22"/>
      <c r="L10" s="22"/>
      <c r="M10" s="22"/>
      <c r="N10" s="24"/>
      <c r="O10" s="22"/>
      <c r="P10" s="25"/>
      <c r="Q10" s="22"/>
      <c r="R10" s="22"/>
      <c r="S10" s="22"/>
      <c r="T10" s="22"/>
      <c r="U10" s="22"/>
    </row>
    <row r="11" spans="1:21" ht="12.75" x14ac:dyDescent="0.35">
      <c r="B11" s="21" t="str">
        <f t="shared" si="0"/>
        <v>SRR28460520_NC_002208.1_submittername</v>
      </c>
      <c r="C11" s="1" t="str">
        <f t="shared" si="1"/>
        <v>SRR28460520_NC_002208.1_submittername.fa</v>
      </c>
      <c r="D11" s="22" t="s">
        <v>20</v>
      </c>
      <c r="E11" s="22" t="s">
        <v>32</v>
      </c>
      <c r="F11" s="22" t="s">
        <v>33</v>
      </c>
      <c r="G11" s="22" t="s">
        <v>23</v>
      </c>
      <c r="H11" s="23" t="s">
        <v>24</v>
      </c>
      <c r="I11" s="23" t="s">
        <v>25</v>
      </c>
      <c r="J11" s="22"/>
      <c r="K11" s="22"/>
      <c r="L11" s="22"/>
      <c r="M11" s="22"/>
      <c r="N11" s="24"/>
      <c r="O11" s="22"/>
      <c r="P11" s="25"/>
      <c r="Q11" s="22"/>
      <c r="R11" s="22"/>
      <c r="S11" s="22"/>
      <c r="T11" s="22"/>
      <c r="U11" s="22"/>
    </row>
    <row r="12" spans="1:21" ht="12.75" x14ac:dyDescent="0.35">
      <c r="B12" s="21" t="str">
        <f t="shared" si="0"/>
        <v>SRR28460520_NC_002209.1_submittername</v>
      </c>
      <c r="C12" s="1" t="str">
        <f t="shared" si="1"/>
        <v>SRR28460520_NC_002209.1_submittername.fa</v>
      </c>
      <c r="D12" s="22" t="s">
        <v>20</v>
      </c>
      <c r="E12" s="22" t="s">
        <v>34</v>
      </c>
      <c r="F12" s="22" t="s">
        <v>35</v>
      </c>
      <c r="G12" s="22" t="s">
        <v>23</v>
      </c>
      <c r="H12" s="23" t="s">
        <v>24</v>
      </c>
      <c r="I12" s="23" t="s">
        <v>25</v>
      </c>
      <c r="J12" s="22"/>
      <c r="K12" s="22"/>
      <c r="L12" s="22"/>
      <c r="M12" s="22"/>
      <c r="N12" s="24"/>
      <c r="O12" s="22"/>
      <c r="P12" s="25"/>
      <c r="Q12" s="22"/>
      <c r="R12" s="22"/>
      <c r="S12" s="22"/>
      <c r="T12" s="22"/>
      <c r="U12" s="22"/>
    </row>
    <row r="13" spans="1:21" ht="12.75" x14ac:dyDescent="0.35">
      <c r="B13" s="21" t="str">
        <f t="shared" si="0"/>
        <v>SRR28460520_NC_002210.1_submittername</v>
      </c>
      <c r="C13" s="1" t="str">
        <f t="shared" si="1"/>
        <v>SRR28460520_NC_002210.1_submittername.fa</v>
      </c>
      <c r="D13" s="22" t="s">
        <v>20</v>
      </c>
      <c r="E13" s="22" t="s">
        <v>36</v>
      </c>
      <c r="F13" s="22" t="s">
        <v>37</v>
      </c>
      <c r="G13" s="22" t="s">
        <v>23</v>
      </c>
      <c r="H13" s="23" t="s">
        <v>24</v>
      </c>
      <c r="I13" s="23" t="s">
        <v>25</v>
      </c>
      <c r="J13" s="22"/>
      <c r="K13" s="22"/>
      <c r="L13" s="22"/>
      <c r="M13" s="22"/>
      <c r="N13" s="24"/>
      <c r="O13" s="22"/>
      <c r="P13" s="25"/>
      <c r="Q13" s="22"/>
      <c r="R13" s="22"/>
      <c r="S13" s="22"/>
      <c r="T13" s="22"/>
      <c r="U13" s="22"/>
    </row>
    <row r="14" spans="1:21" ht="12.75" x14ac:dyDescent="0.35">
      <c r="B14" s="26" t="str">
        <f t="shared" si="0"/>
        <v>SRR28460520_NC_002211.1_submittername</v>
      </c>
      <c r="C14" s="27" t="str">
        <f t="shared" si="1"/>
        <v>SRR28460520_NC_002211.1_submittername.fa</v>
      </c>
      <c r="D14" s="28" t="s">
        <v>20</v>
      </c>
      <c r="E14" s="28" t="s">
        <v>38</v>
      </c>
      <c r="F14" s="28" t="s">
        <v>39</v>
      </c>
      <c r="G14" s="28" t="s">
        <v>23</v>
      </c>
      <c r="H14" s="29" t="s">
        <v>24</v>
      </c>
      <c r="I14" s="29" t="s">
        <v>25</v>
      </c>
      <c r="J14" s="28"/>
      <c r="K14" s="28"/>
      <c r="L14" s="28"/>
      <c r="M14" s="28"/>
      <c r="N14" s="30"/>
      <c r="O14" s="22"/>
      <c r="P14" s="25"/>
      <c r="Q14" s="22"/>
      <c r="R14" s="22"/>
      <c r="S14" s="22"/>
      <c r="T14" s="22"/>
      <c r="U14" s="22"/>
    </row>
    <row r="15" spans="1:21" ht="13.15" x14ac:dyDescent="0.4">
      <c r="B15" s="21" t="str">
        <f t="shared" si="0"/>
        <v>SRR32566846_NC_002204.1_submittername</v>
      </c>
      <c r="C15" s="1" t="str">
        <f t="shared" si="1"/>
        <v>SRR32566846_NC_002204.1_submittername.fa</v>
      </c>
      <c r="D15" s="31" t="s">
        <v>40</v>
      </c>
      <c r="E15" s="22" t="s">
        <v>21</v>
      </c>
      <c r="F15" s="22" t="s">
        <v>22</v>
      </c>
      <c r="G15" s="23" t="s">
        <v>41</v>
      </c>
      <c r="H15" s="32" t="s">
        <v>42</v>
      </c>
      <c r="I15" s="23" t="s">
        <v>43</v>
      </c>
      <c r="J15" s="23"/>
      <c r="K15" s="23"/>
      <c r="L15" s="23"/>
      <c r="M15" s="23"/>
      <c r="N15" s="33"/>
      <c r="O15" s="23"/>
    </row>
    <row r="16" spans="1:21" ht="13.15" x14ac:dyDescent="0.4">
      <c r="B16" s="21" t="str">
        <f t="shared" si="0"/>
        <v>SRR32566846_NC_002205.1_submittername</v>
      </c>
      <c r="C16" s="1" t="str">
        <f t="shared" si="1"/>
        <v>SRR32566846_NC_002205.1_submittername.fa</v>
      </c>
      <c r="D16" s="31" t="s">
        <v>40</v>
      </c>
      <c r="E16" s="22" t="s">
        <v>26</v>
      </c>
      <c r="F16" s="22" t="s">
        <v>27</v>
      </c>
      <c r="G16" s="23" t="s">
        <v>41</v>
      </c>
      <c r="H16" s="32" t="s">
        <v>42</v>
      </c>
      <c r="I16" s="23" t="s">
        <v>43</v>
      </c>
      <c r="N16" s="34"/>
    </row>
    <row r="17" spans="2:14" ht="13.15" x14ac:dyDescent="0.4">
      <c r="B17" s="21" t="str">
        <f t="shared" si="0"/>
        <v>SRR32566846_NC_002206.1_submittername</v>
      </c>
      <c r="C17" s="1" t="str">
        <f t="shared" si="1"/>
        <v>SRR32566846_NC_002206.1_submittername.fa</v>
      </c>
      <c r="D17" s="31" t="s">
        <v>40</v>
      </c>
      <c r="E17" s="22" t="s">
        <v>28</v>
      </c>
      <c r="F17" s="22" t="s">
        <v>29</v>
      </c>
      <c r="G17" s="23" t="s">
        <v>41</v>
      </c>
      <c r="H17" s="32" t="s">
        <v>42</v>
      </c>
      <c r="I17" s="23" t="s">
        <v>43</v>
      </c>
      <c r="N17" s="34"/>
    </row>
    <row r="18" spans="2:14" ht="13.15" x14ac:dyDescent="0.4">
      <c r="B18" s="21" t="str">
        <f t="shared" si="0"/>
        <v>SRR32566846_NC_002207.1_submittername</v>
      </c>
      <c r="C18" s="1" t="str">
        <f t="shared" si="1"/>
        <v>SRR32566846_NC_002207.1_submittername.fa</v>
      </c>
      <c r="D18" s="31" t="s">
        <v>40</v>
      </c>
      <c r="E18" s="22" t="s">
        <v>30</v>
      </c>
      <c r="F18" s="22" t="s">
        <v>31</v>
      </c>
      <c r="G18" s="23" t="s">
        <v>41</v>
      </c>
      <c r="H18" s="32" t="s">
        <v>42</v>
      </c>
      <c r="I18" s="23" t="s">
        <v>43</v>
      </c>
      <c r="N18" s="34"/>
    </row>
    <row r="19" spans="2:14" ht="13.15" x14ac:dyDescent="0.4">
      <c r="B19" s="21" t="str">
        <f t="shared" si="0"/>
        <v>SRR32566846_NC_002208.1_submittername</v>
      </c>
      <c r="C19" s="1" t="str">
        <f t="shared" si="1"/>
        <v>SRR32566846_NC_002208.1_submittername.fa</v>
      </c>
      <c r="D19" s="31" t="s">
        <v>40</v>
      </c>
      <c r="E19" s="22" t="s">
        <v>32</v>
      </c>
      <c r="F19" s="22" t="s">
        <v>33</v>
      </c>
      <c r="G19" s="23" t="s">
        <v>41</v>
      </c>
      <c r="H19" s="32" t="s">
        <v>42</v>
      </c>
      <c r="I19" s="23" t="s">
        <v>43</v>
      </c>
      <c r="N19" s="34"/>
    </row>
    <row r="20" spans="2:14" ht="13.15" x14ac:dyDescent="0.4">
      <c r="B20" s="21" t="str">
        <f t="shared" si="0"/>
        <v>SRR32566846_NC_002209.1_submittername</v>
      </c>
      <c r="C20" s="1" t="str">
        <f t="shared" si="1"/>
        <v>SRR32566846_NC_002209.1_submittername.fa</v>
      </c>
      <c r="D20" s="31" t="s">
        <v>40</v>
      </c>
      <c r="E20" s="22" t="s">
        <v>34</v>
      </c>
      <c r="F20" s="22" t="s">
        <v>35</v>
      </c>
      <c r="G20" s="23" t="s">
        <v>41</v>
      </c>
      <c r="H20" s="32" t="s">
        <v>42</v>
      </c>
      <c r="I20" s="23" t="s">
        <v>43</v>
      </c>
      <c r="N20" s="34"/>
    </row>
    <row r="21" spans="2:14" ht="13.15" x14ac:dyDescent="0.4">
      <c r="B21" s="21" t="str">
        <f t="shared" si="0"/>
        <v>SRR32566846_NC_002210.1_submittername</v>
      </c>
      <c r="C21" s="1" t="str">
        <f t="shared" si="1"/>
        <v>SRR32566846_NC_002210.1_submittername.fa</v>
      </c>
      <c r="D21" s="31" t="s">
        <v>40</v>
      </c>
      <c r="E21" s="22" t="s">
        <v>36</v>
      </c>
      <c r="F21" s="22" t="s">
        <v>37</v>
      </c>
      <c r="G21" s="23" t="s">
        <v>41</v>
      </c>
      <c r="H21" s="32" t="s">
        <v>42</v>
      </c>
      <c r="I21" s="23" t="s">
        <v>43</v>
      </c>
      <c r="N21" s="34"/>
    </row>
    <row r="22" spans="2:14" ht="13.15" x14ac:dyDescent="0.4">
      <c r="B22" s="26" t="str">
        <f t="shared" si="0"/>
        <v>SRR32566846_NC_002211.1_submittername</v>
      </c>
      <c r="C22" s="27" t="str">
        <f t="shared" si="1"/>
        <v>SRR32566846_NC_002211.1_submittername.fa</v>
      </c>
      <c r="D22" s="35" t="s">
        <v>40</v>
      </c>
      <c r="E22" s="28" t="s">
        <v>38</v>
      </c>
      <c r="F22" s="28" t="s">
        <v>39</v>
      </c>
      <c r="G22" s="29" t="s">
        <v>41</v>
      </c>
      <c r="H22" s="36" t="s">
        <v>42</v>
      </c>
      <c r="I22" s="29" t="s">
        <v>43</v>
      </c>
      <c r="J22" s="27"/>
      <c r="K22" s="27"/>
      <c r="L22" s="27"/>
      <c r="M22" s="27"/>
      <c r="N22" s="37"/>
    </row>
    <row r="23" spans="2:14" ht="13.15" x14ac:dyDescent="0.4">
      <c r="B23" s="21" t="str">
        <f t="shared" si="0"/>
        <v>SRR30714436_NC_002204.1_submittername</v>
      </c>
      <c r="C23" s="1" t="str">
        <f t="shared" si="1"/>
        <v>SRR30714436_NC_002204.1_submittername.fa</v>
      </c>
      <c r="D23" s="38" t="s">
        <v>44</v>
      </c>
      <c r="E23" s="38" t="s">
        <v>21</v>
      </c>
      <c r="F23" s="38" t="s">
        <v>22</v>
      </c>
      <c r="G23" s="23" t="s">
        <v>23</v>
      </c>
      <c r="H23" s="32" t="s">
        <v>45</v>
      </c>
      <c r="I23" s="23" t="s">
        <v>46</v>
      </c>
      <c r="N23" s="34"/>
    </row>
    <row r="24" spans="2:14" ht="13.15" x14ac:dyDescent="0.4">
      <c r="B24" s="21" t="str">
        <f t="shared" si="0"/>
        <v>SRR30714436_NC_002205.1_submittername</v>
      </c>
      <c r="C24" s="1" t="str">
        <f t="shared" si="1"/>
        <v>SRR30714436_NC_002205.1_submittername.fa</v>
      </c>
      <c r="D24" s="22" t="s">
        <v>44</v>
      </c>
      <c r="E24" s="22" t="s">
        <v>26</v>
      </c>
      <c r="F24" s="22" t="s">
        <v>27</v>
      </c>
      <c r="G24" s="23" t="s">
        <v>23</v>
      </c>
      <c r="H24" s="32" t="s">
        <v>45</v>
      </c>
      <c r="I24" s="23" t="s">
        <v>46</v>
      </c>
      <c r="N24" s="34"/>
    </row>
    <row r="25" spans="2:14" ht="13.15" x14ac:dyDescent="0.4">
      <c r="B25" s="21" t="str">
        <f t="shared" si="0"/>
        <v>SRR30714436_NC_002206.1_submittername</v>
      </c>
      <c r="C25" s="1" t="str">
        <f t="shared" si="1"/>
        <v>SRR30714436_NC_002206.1_submittername.fa</v>
      </c>
      <c r="D25" s="22" t="s">
        <v>44</v>
      </c>
      <c r="E25" s="22" t="s">
        <v>28</v>
      </c>
      <c r="F25" s="22" t="s">
        <v>29</v>
      </c>
      <c r="G25" s="23" t="s">
        <v>23</v>
      </c>
      <c r="H25" s="32" t="s">
        <v>45</v>
      </c>
      <c r="I25" s="23" t="s">
        <v>46</v>
      </c>
      <c r="N25" s="34"/>
    </row>
    <row r="26" spans="2:14" ht="13.15" x14ac:dyDescent="0.4">
      <c r="B26" s="21" t="str">
        <f t="shared" si="0"/>
        <v>SRR30714436_NC_002207.1_submittername</v>
      </c>
      <c r="C26" s="1" t="str">
        <f t="shared" si="1"/>
        <v>SRR30714436_NC_002207.1_submittername.fa</v>
      </c>
      <c r="D26" s="22" t="s">
        <v>44</v>
      </c>
      <c r="E26" s="22" t="s">
        <v>30</v>
      </c>
      <c r="F26" s="22" t="s">
        <v>31</v>
      </c>
      <c r="G26" s="23" t="s">
        <v>23</v>
      </c>
      <c r="H26" s="32" t="s">
        <v>45</v>
      </c>
      <c r="I26" s="23" t="s">
        <v>46</v>
      </c>
      <c r="N26" s="34"/>
    </row>
    <row r="27" spans="2:14" ht="13.15" x14ac:dyDescent="0.4">
      <c r="B27" s="21" t="str">
        <f t="shared" si="0"/>
        <v>SRR30714436_NC_002208.1_submittername</v>
      </c>
      <c r="C27" s="1" t="str">
        <f t="shared" si="1"/>
        <v>SRR30714436_NC_002208.1_submittername.fa</v>
      </c>
      <c r="D27" s="22" t="s">
        <v>44</v>
      </c>
      <c r="E27" s="22" t="s">
        <v>32</v>
      </c>
      <c r="F27" s="22" t="s">
        <v>33</v>
      </c>
      <c r="G27" s="23" t="s">
        <v>23</v>
      </c>
      <c r="H27" s="32" t="s">
        <v>45</v>
      </c>
      <c r="I27" s="23" t="s">
        <v>46</v>
      </c>
      <c r="N27" s="34"/>
    </row>
    <row r="28" spans="2:14" ht="13.15" x14ac:dyDescent="0.4">
      <c r="B28" s="21" t="str">
        <f t="shared" si="0"/>
        <v>SRR30714436_NC_002209.1_submittername</v>
      </c>
      <c r="C28" s="1" t="str">
        <f t="shared" si="1"/>
        <v>SRR30714436_NC_002209.1_submittername.fa</v>
      </c>
      <c r="D28" s="22" t="s">
        <v>44</v>
      </c>
      <c r="E28" s="22" t="s">
        <v>34</v>
      </c>
      <c r="F28" s="22" t="s">
        <v>35</v>
      </c>
      <c r="G28" s="23" t="s">
        <v>23</v>
      </c>
      <c r="H28" s="32" t="s">
        <v>45</v>
      </c>
      <c r="I28" s="23" t="s">
        <v>46</v>
      </c>
      <c r="N28" s="34"/>
    </row>
    <row r="29" spans="2:14" ht="13.15" x14ac:dyDescent="0.4">
      <c r="B29" s="21" t="str">
        <f t="shared" si="0"/>
        <v>SRR30714436_NC_002210.1_submittername</v>
      </c>
      <c r="C29" s="1" t="str">
        <f t="shared" si="1"/>
        <v>SRR30714436_NC_002210.1_submittername.fa</v>
      </c>
      <c r="D29" s="22" t="s">
        <v>44</v>
      </c>
      <c r="E29" s="22" t="s">
        <v>36</v>
      </c>
      <c r="F29" s="22" t="s">
        <v>37</v>
      </c>
      <c r="G29" s="23" t="s">
        <v>23</v>
      </c>
      <c r="H29" s="32" t="s">
        <v>45</v>
      </c>
      <c r="I29" s="23" t="s">
        <v>46</v>
      </c>
      <c r="N29" s="34"/>
    </row>
    <row r="30" spans="2:14" ht="13.15" x14ac:dyDescent="0.4">
      <c r="B30" s="26" t="str">
        <f t="shared" si="0"/>
        <v>SRR30714436_NC_002211.1_submittername</v>
      </c>
      <c r="C30" s="27" t="str">
        <f t="shared" si="1"/>
        <v>SRR30714436_NC_002211.1_submittername.fa</v>
      </c>
      <c r="D30" s="28" t="s">
        <v>44</v>
      </c>
      <c r="E30" s="28" t="s">
        <v>38</v>
      </c>
      <c r="F30" s="28" t="s">
        <v>39</v>
      </c>
      <c r="G30" s="29" t="s">
        <v>23</v>
      </c>
      <c r="H30" s="36" t="s">
        <v>45</v>
      </c>
      <c r="I30" s="29" t="s">
        <v>46</v>
      </c>
      <c r="J30" s="27"/>
      <c r="K30" s="27"/>
      <c r="L30" s="27"/>
      <c r="M30" s="27"/>
      <c r="N30" s="37"/>
    </row>
    <row r="31" spans="2:14" ht="13.15" x14ac:dyDescent="0.4">
      <c r="B31" s="21" t="str">
        <f t="shared" si="0"/>
        <v>SRR29478216_NC_002204.1_submittername</v>
      </c>
      <c r="C31" s="1" t="str">
        <f t="shared" si="1"/>
        <v>SRR29478216_NC_002204.1_submittername.fa</v>
      </c>
      <c r="D31" s="22" t="s">
        <v>47</v>
      </c>
      <c r="E31" s="22" t="s">
        <v>21</v>
      </c>
      <c r="F31" s="22" t="s">
        <v>22</v>
      </c>
      <c r="G31" s="23" t="s">
        <v>23</v>
      </c>
      <c r="H31" s="32" t="s">
        <v>42</v>
      </c>
      <c r="I31" s="23" t="s">
        <v>48</v>
      </c>
      <c r="N31" s="34"/>
    </row>
    <row r="32" spans="2:14" ht="13.15" x14ac:dyDescent="0.4">
      <c r="B32" s="21" t="str">
        <f t="shared" si="0"/>
        <v>SRR29478216_NC_002205.1_submittername</v>
      </c>
      <c r="C32" s="1" t="str">
        <f t="shared" si="1"/>
        <v>SRR29478216_NC_002205.1_submittername.fa</v>
      </c>
      <c r="D32" s="22" t="s">
        <v>47</v>
      </c>
      <c r="E32" s="22" t="s">
        <v>26</v>
      </c>
      <c r="F32" s="22" t="s">
        <v>27</v>
      </c>
      <c r="G32" s="23" t="s">
        <v>23</v>
      </c>
      <c r="H32" s="32" t="s">
        <v>42</v>
      </c>
      <c r="I32" s="23" t="s">
        <v>48</v>
      </c>
      <c r="N32" s="34"/>
    </row>
    <row r="33" spans="2:14" ht="13.15" x14ac:dyDescent="0.4">
      <c r="B33" s="21" t="str">
        <f t="shared" si="0"/>
        <v>SRR29478216_NC_002206.1_submittername</v>
      </c>
      <c r="C33" s="1" t="str">
        <f t="shared" si="1"/>
        <v>SRR29478216_NC_002206.1_submittername.fa</v>
      </c>
      <c r="D33" s="22" t="s">
        <v>47</v>
      </c>
      <c r="E33" s="22" t="s">
        <v>28</v>
      </c>
      <c r="F33" s="22" t="s">
        <v>29</v>
      </c>
      <c r="G33" s="23" t="s">
        <v>23</v>
      </c>
      <c r="H33" s="32" t="s">
        <v>42</v>
      </c>
      <c r="I33" s="23" t="s">
        <v>48</v>
      </c>
      <c r="N33" s="34"/>
    </row>
    <row r="34" spans="2:14" ht="13.15" x14ac:dyDescent="0.4">
      <c r="B34" s="21" t="str">
        <f t="shared" si="0"/>
        <v>SRR29478216_NC_002207.1_submittername</v>
      </c>
      <c r="C34" s="1" t="str">
        <f t="shared" si="1"/>
        <v>SRR29478216_NC_002207.1_submittername.fa</v>
      </c>
      <c r="D34" s="22" t="s">
        <v>47</v>
      </c>
      <c r="E34" s="22" t="s">
        <v>30</v>
      </c>
      <c r="F34" s="22" t="s">
        <v>31</v>
      </c>
      <c r="G34" s="23" t="s">
        <v>23</v>
      </c>
      <c r="H34" s="32" t="s">
        <v>42</v>
      </c>
      <c r="I34" s="23" t="s">
        <v>48</v>
      </c>
      <c r="N34" s="34"/>
    </row>
    <row r="35" spans="2:14" ht="13.15" x14ac:dyDescent="0.4">
      <c r="B35" s="21" t="str">
        <f t="shared" si="0"/>
        <v>SRR29478216_NC_002208.1_submittername</v>
      </c>
      <c r="C35" s="1" t="str">
        <f t="shared" si="1"/>
        <v>SRR29478216_NC_002208.1_submittername.fa</v>
      </c>
      <c r="D35" s="22" t="s">
        <v>47</v>
      </c>
      <c r="E35" s="22" t="s">
        <v>32</v>
      </c>
      <c r="F35" s="22" t="s">
        <v>33</v>
      </c>
      <c r="G35" s="23" t="s">
        <v>23</v>
      </c>
      <c r="H35" s="32" t="s">
        <v>42</v>
      </c>
      <c r="I35" s="23" t="s">
        <v>48</v>
      </c>
      <c r="N35" s="34"/>
    </row>
    <row r="36" spans="2:14" ht="13.15" x14ac:dyDescent="0.4">
      <c r="B36" s="21" t="str">
        <f t="shared" si="0"/>
        <v>SRR29478216_NC_002209.1_submittername</v>
      </c>
      <c r="C36" s="1" t="str">
        <f t="shared" si="1"/>
        <v>SRR29478216_NC_002209.1_submittername.fa</v>
      </c>
      <c r="D36" s="22" t="s">
        <v>47</v>
      </c>
      <c r="E36" s="22" t="s">
        <v>34</v>
      </c>
      <c r="F36" s="22" t="s">
        <v>35</v>
      </c>
      <c r="G36" s="23" t="s">
        <v>23</v>
      </c>
      <c r="H36" s="32" t="s">
        <v>42</v>
      </c>
      <c r="I36" s="23" t="s">
        <v>48</v>
      </c>
      <c r="N36" s="34"/>
    </row>
    <row r="37" spans="2:14" ht="13.15" x14ac:dyDescent="0.4">
      <c r="B37" s="21" t="str">
        <f t="shared" si="0"/>
        <v>SRR29478216_NC_002210.1_submittername</v>
      </c>
      <c r="C37" s="1" t="str">
        <f t="shared" si="1"/>
        <v>SRR29478216_NC_002210.1_submittername.fa</v>
      </c>
      <c r="D37" s="22" t="s">
        <v>47</v>
      </c>
      <c r="E37" s="22" t="s">
        <v>36</v>
      </c>
      <c r="F37" s="22" t="s">
        <v>37</v>
      </c>
      <c r="G37" s="23" t="s">
        <v>23</v>
      </c>
      <c r="H37" s="32" t="s">
        <v>42</v>
      </c>
      <c r="I37" s="23" t="s">
        <v>48</v>
      </c>
      <c r="N37" s="34"/>
    </row>
    <row r="38" spans="2:14" ht="13.15" x14ac:dyDescent="0.4">
      <c r="B38" s="26" t="str">
        <f t="shared" si="0"/>
        <v>SRR29478216_NC_002211.1_submittername</v>
      </c>
      <c r="C38" s="27" t="str">
        <f t="shared" si="1"/>
        <v>SRR29478216_NC_002211.1_submittername.fa</v>
      </c>
      <c r="D38" s="28" t="s">
        <v>47</v>
      </c>
      <c r="E38" s="28" t="s">
        <v>38</v>
      </c>
      <c r="F38" s="28" t="s">
        <v>39</v>
      </c>
      <c r="G38" s="29" t="s">
        <v>23</v>
      </c>
      <c r="H38" s="36" t="s">
        <v>42</v>
      </c>
      <c r="I38" s="29" t="s">
        <v>48</v>
      </c>
      <c r="J38" s="27"/>
      <c r="K38" s="27"/>
      <c r="L38" s="27"/>
      <c r="M38" s="27"/>
      <c r="N38" s="37"/>
    </row>
    <row r="39" spans="2:14" ht="13.15" x14ac:dyDescent="0.4">
      <c r="B39" s="21" t="str">
        <f t="shared" si="0"/>
        <v>SRR22846266_NC_002204.1_submittername</v>
      </c>
      <c r="C39" s="1" t="str">
        <f t="shared" si="1"/>
        <v>SRR22846266_NC_002204.1_submittername.fa</v>
      </c>
      <c r="D39" s="22" t="s">
        <v>49</v>
      </c>
      <c r="E39" s="22" t="s">
        <v>21</v>
      </c>
      <c r="F39" s="22" t="s">
        <v>22</v>
      </c>
      <c r="G39" s="23" t="s">
        <v>23</v>
      </c>
      <c r="H39" s="32" t="s">
        <v>42</v>
      </c>
      <c r="I39" s="23" t="s">
        <v>48</v>
      </c>
      <c r="N39" s="34"/>
    </row>
    <row r="40" spans="2:14" ht="13.15" x14ac:dyDescent="0.4">
      <c r="B40" s="21" t="str">
        <f t="shared" si="0"/>
        <v>SRR22846266_NC_002205.1_submittername</v>
      </c>
      <c r="C40" s="1" t="str">
        <f t="shared" si="1"/>
        <v>SRR22846266_NC_002205.1_submittername.fa</v>
      </c>
      <c r="D40" s="22" t="s">
        <v>49</v>
      </c>
      <c r="E40" s="22" t="s">
        <v>26</v>
      </c>
      <c r="F40" s="22" t="s">
        <v>27</v>
      </c>
      <c r="G40" s="23" t="s">
        <v>23</v>
      </c>
      <c r="H40" s="32" t="s">
        <v>42</v>
      </c>
      <c r="I40" s="23" t="s">
        <v>48</v>
      </c>
      <c r="N40" s="34"/>
    </row>
    <row r="41" spans="2:14" ht="13.15" x14ac:dyDescent="0.4">
      <c r="B41" s="21" t="str">
        <f t="shared" si="0"/>
        <v>SRR22846266_NC_002206.1_submittername</v>
      </c>
      <c r="C41" s="1" t="str">
        <f t="shared" si="1"/>
        <v>SRR22846266_NC_002206.1_submittername.fa</v>
      </c>
      <c r="D41" s="22" t="s">
        <v>49</v>
      </c>
      <c r="E41" s="22" t="s">
        <v>28</v>
      </c>
      <c r="F41" s="22" t="s">
        <v>29</v>
      </c>
      <c r="G41" s="23" t="s">
        <v>23</v>
      </c>
      <c r="H41" s="32" t="s">
        <v>42</v>
      </c>
      <c r="I41" s="23" t="s">
        <v>48</v>
      </c>
      <c r="N41" s="34"/>
    </row>
    <row r="42" spans="2:14" ht="13.15" x14ac:dyDescent="0.4">
      <c r="B42" s="21" t="str">
        <f t="shared" si="0"/>
        <v>SRR22846266_NC_002207.1_submittername</v>
      </c>
      <c r="C42" s="1" t="str">
        <f t="shared" si="1"/>
        <v>SRR22846266_NC_002207.1_submittername.fa</v>
      </c>
      <c r="D42" s="22" t="s">
        <v>49</v>
      </c>
      <c r="E42" s="22" t="s">
        <v>30</v>
      </c>
      <c r="F42" s="22" t="s">
        <v>31</v>
      </c>
      <c r="G42" s="23" t="s">
        <v>23</v>
      </c>
      <c r="H42" s="32" t="s">
        <v>42</v>
      </c>
      <c r="I42" s="23" t="s">
        <v>48</v>
      </c>
      <c r="N42" s="34"/>
    </row>
    <row r="43" spans="2:14" ht="13.15" x14ac:dyDescent="0.4">
      <c r="B43" s="21" t="str">
        <f t="shared" si="0"/>
        <v>SRR22846266_NC_002208.1_submittername</v>
      </c>
      <c r="C43" s="1" t="str">
        <f t="shared" si="1"/>
        <v>SRR22846266_NC_002208.1_submittername.fa</v>
      </c>
      <c r="D43" s="22" t="s">
        <v>49</v>
      </c>
      <c r="E43" s="22" t="s">
        <v>32</v>
      </c>
      <c r="F43" s="22" t="s">
        <v>33</v>
      </c>
      <c r="G43" s="23" t="s">
        <v>23</v>
      </c>
      <c r="H43" s="32" t="s">
        <v>42</v>
      </c>
      <c r="I43" s="23" t="s">
        <v>48</v>
      </c>
      <c r="N43" s="34"/>
    </row>
    <row r="44" spans="2:14" ht="13.15" x14ac:dyDescent="0.4">
      <c r="B44" s="21" t="str">
        <f t="shared" si="0"/>
        <v>SRR22846266_NC_002209.1_submittername</v>
      </c>
      <c r="C44" s="1" t="str">
        <f t="shared" si="1"/>
        <v>SRR22846266_NC_002209.1_submittername.fa</v>
      </c>
      <c r="D44" s="22" t="s">
        <v>49</v>
      </c>
      <c r="E44" s="22" t="s">
        <v>34</v>
      </c>
      <c r="F44" s="22" t="s">
        <v>35</v>
      </c>
      <c r="G44" s="23" t="s">
        <v>23</v>
      </c>
      <c r="H44" s="32" t="s">
        <v>42</v>
      </c>
      <c r="I44" s="23" t="s">
        <v>48</v>
      </c>
      <c r="N44" s="34"/>
    </row>
    <row r="45" spans="2:14" ht="13.15" x14ac:dyDescent="0.4">
      <c r="B45" s="21" t="str">
        <f t="shared" si="0"/>
        <v>SRR22846266_NC_002210.1_submittername</v>
      </c>
      <c r="C45" s="1" t="str">
        <f t="shared" si="1"/>
        <v>SRR22846266_NC_002210.1_submittername.fa</v>
      </c>
      <c r="D45" s="22" t="s">
        <v>49</v>
      </c>
      <c r="E45" s="22" t="s">
        <v>36</v>
      </c>
      <c r="F45" s="22" t="s">
        <v>37</v>
      </c>
      <c r="G45" s="23" t="s">
        <v>23</v>
      </c>
      <c r="H45" s="32" t="s">
        <v>42</v>
      </c>
      <c r="I45" s="23" t="s">
        <v>48</v>
      </c>
      <c r="N45" s="34"/>
    </row>
    <row r="46" spans="2:14" ht="13.15" x14ac:dyDescent="0.4">
      <c r="B46" s="26" t="str">
        <f t="shared" si="0"/>
        <v>SRR22846266_NC_002211.1_submittername</v>
      </c>
      <c r="C46" s="27" t="str">
        <f t="shared" si="1"/>
        <v>SRR22846266_NC_002211.1_submittername.fa</v>
      </c>
      <c r="D46" s="28" t="s">
        <v>49</v>
      </c>
      <c r="E46" s="28" t="s">
        <v>38</v>
      </c>
      <c r="F46" s="28" t="s">
        <v>39</v>
      </c>
      <c r="G46" s="29" t="s">
        <v>23</v>
      </c>
      <c r="H46" s="36" t="s">
        <v>42</v>
      </c>
      <c r="I46" s="29" t="s">
        <v>48</v>
      </c>
      <c r="J46" s="27"/>
      <c r="K46" s="27"/>
      <c r="L46" s="27"/>
      <c r="M46" s="27"/>
      <c r="N46" s="37"/>
    </row>
    <row r="47" spans="2:14" ht="13.15" x14ac:dyDescent="0.4">
      <c r="B47" s="21" t="str">
        <f t="shared" si="0"/>
        <v>ERR12329533_NC_026438.1_submittername</v>
      </c>
      <c r="C47" s="1" t="str">
        <f t="shared" si="1"/>
        <v>ERR12329533_NC_026438.1_submittername.fa</v>
      </c>
      <c r="D47" s="22" t="s">
        <v>50</v>
      </c>
      <c r="E47" s="22" t="s">
        <v>51</v>
      </c>
      <c r="F47" s="22" t="s">
        <v>52</v>
      </c>
      <c r="G47" s="23" t="s">
        <v>23</v>
      </c>
      <c r="H47" s="32" t="s">
        <v>45</v>
      </c>
      <c r="I47" s="23" t="s">
        <v>53</v>
      </c>
      <c r="N47" s="34"/>
    </row>
    <row r="48" spans="2:14" ht="13.15" x14ac:dyDescent="0.4">
      <c r="B48" s="21" t="str">
        <f t="shared" si="0"/>
        <v>ERR12329533_NC_026435.1_submittername</v>
      </c>
      <c r="C48" s="1" t="str">
        <f t="shared" si="1"/>
        <v>ERR12329533_NC_026435.1_submittername.fa</v>
      </c>
      <c r="D48" s="22" t="s">
        <v>50</v>
      </c>
      <c r="E48" s="22" t="s">
        <v>54</v>
      </c>
      <c r="F48" s="22" t="s">
        <v>55</v>
      </c>
      <c r="G48" s="23" t="s">
        <v>23</v>
      </c>
      <c r="H48" s="32" t="s">
        <v>45</v>
      </c>
      <c r="I48" s="23" t="s">
        <v>53</v>
      </c>
      <c r="N48" s="34"/>
    </row>
    <row r="49" spans="2:14" ht="13.15" x14ac:dyDescent="0.4">
      <c r="B49" s="21" t="str">
        <f t="shared" si="0"/>
        <v>ERR12329533_NC_026437.1_submittername</v>
      </c>
      <c r="C49" s="1" t="str">
        <f t="shared" si="1"/>
        <v>ERR12329533_NC_026437.1_submittername.fa</v>
      </c>
      <c r="D49" s="22" t="s">
        <v>50</v>
      </c>
      <c r="E49" s="22" t="s">
        <v>56</v>
      </c>
      <c r="F49" s="22" t="s">
        <v>57</v>
      </c>
      <c r="G49" s="23" t="s">
        <v>23</v>
      </c>
      <c r="H49" s="32" t="s">
        <v>45</v>
      </c>
      <c r="I49" s="23" t="s">
        <v>53</v>
      </c>
      <c r="N49" s="34"/>
    </row>
    <row r="50" spans="2:14" ht="13.15" x14ac:dyDescent="0.4">
      <c r="B50" s="21" t="str">
        <f t="shared" si="0"/>
        <v>ERR12329533_NC_026433.1_submittername</v>
      </c>
      <c r="C50" s="1" t="str">
        <f t="shared" si="1"/>
        <v>ERR12329533_NC_026433.1_submittername.fa</v>
      </c>
      <c r="D50" s="22" t="s">
        <v>50</v>
      </c>
      <c r="E50" s="22" t="s">
        <v>58</v>
      </c>
      <c r="F50" s="22" t="s">
        <v>59</v>
      </c>
      <c r="G50" s="23" t="s">
        <v>23</v>
      </c>
      <c r="H50" s="32" t="s">
        <v>45</v>
      </c>
      <c r="I50" s="23" t="s">
        <v>53</v>
      </c>
      <c r="N50" s="34"/>
    </row>
    <row r="51" spans="2:14" ht="13.15" x14ac:dyDescent="0.4">
      <c r="B51" s="21" t="str">
        <f t="shared" si="0"/>
        <v>ERR12329533_NC_026436.1_submittername</v>
      </c>
      <c r="C51" s="1" t="str">
        <f t="shared" si="1"/>
        <v>ERR12329533_NC_026436.1_submittername.fa</v>
      </c>
      <c r="D51" s="22" t="s">
        <v>50</v>
      </c>
      <c r="E51" s="22" t="s">
        <v>60</v>
      </c>
      <c r="F51" s="22" t="s">
        <v>61</v>
      </c>
      <c r="G51" s="23" t="s">
        <v>23</v>
      </c>
      <c r="H51" s="32" t="s">
        <v>45</v>
      </c>
      <c r="I51" s="23" t="s">
        <v>53</v>
      </c>
      <c r="N51" s="34"/>
    </row>
    <row r="52" spans="2:14" ht="13.15" x14ac:dyDescent="0.4">
      <c r="B52" s="21" t="str">
        <f t="shared" si="0"/>
        <v>ERR12329533_NC_026434.1_submittername</v>
      </c>
      <c r="C52" s="1" t="str">
        <f t="shared" si="1"/>
        <v>ERR12329533_NC_026434.1_submittername.fa</v>
      </c>
      <c r="D52" s="22" t="s">
        <v>50</v>
      </c>
      <c r="E52" s="22" t="s">
        <v>62</v>
      </c>
      <c r="F52" s="22" t="s">
        <v>63</v>
      </c>
      <c r="G52" s="23" t="s">
        <v>23</v>
      </c>
      <c r="H52" s="32" t="s">
        <v>45</v>
      </c>
      <c r="I52" s="23" t="s">
        <v>53</v>
      </c>
      <c r="N52" s="34"/>
    </row>
    <row r="53" spans="2:14" ht="13.15" x14ac:dyDescent="0.4">
      <c r="B53" s="21" t="str">
        <f t="shared" si="0"/>
        <v>ERR12329533_NC_026431.1_submittername</v>
      </c>
      <c r="C53" s="1" t="str">
        <f t="shared" si="1"/>
        <v>ERR12329533_NC_026431.1_submittername.fa</v>
      </c>
      <c r="D53" s="22" t="s">
        <v>50</v>
      </c>
      <c r="E53" s="22" t="s">
        <v>64</v>
      </c>
      <c r="F53" s="22" t="s">
        <v>65</v>
      </c>
      <c r="G53" s="23" t="s">
        <v>23</v>
      </c>
      <c r="H53" s="32" t="s">
        <v>45</v>
      </c>
      <c r="I53" s="23" t="s">
        <v>53</v>
      </c>
      <c r="N53" s="34"/>
    </row>
    <row r="54" spans="2:14" ht="13.15" x14ac:dyDescent="0.4">
      <c r="B54" s="26" t="str">
        <f t="shared" si="0"/>
        <v>ERR12329533_NC_026432.1_submittername</v>
      </c>
      <c r="C54" s="27" t="str">
        <f t="shared" si="1"/>
        <v>ERR12329533_NC_026432.1_submittername.fa</v>
      </c>
      <c r="D54" s="28" t="s">
        <v>50</v>
      </c>
      <c r="E54" s="28" t="s">
        <v>66</v>
      </c>
      <c r="F54" s="28" t="s">
        <v>67</v>
      </c>
      <c r="G54" s="29" t="s">
        <v>23</v>
      </c>
      <c r="H54" s="36" t="s">
        <v>45</v>
      </c>
      <c r="I54" s="29" t="s">
        <v>53</v>
      </c>
      <c r="J54" s="27"/>
      <c r="K54" s="27"/>
      <c r="L54" s="27"/>
      <c r="M54" s="27"/>
      <c r="N54" s="37"/>
    </row>
    <row r="55" spans="2:14" ht="12.75" x14ac:dyDescent="0.35">
      <c r="B55" s="21" t="str">
        <f t="shared" si="0"/>
        <v>ERR10221502_NC_026438.1_submittername</v>
      </c>
      <c r="C55" s="1" t="str">
        <f t="shared" si="1"/>
        <v>ERR10221502_NC_026438.1_submittername.fa</v>
      </c>
      <c r="D55" s="39" t="s">
        <v>68</v>
      </c>
      <c r="E55" s="22" t="s">
        <v>51</v>
      </c>
      <c r="F55" s="22" t="s">
        <v>52</v>
      </c>
      <c r="G55" s="23" t="s">
        <v>41</v>
      </c>
      <c r="H55" s="23" t="s">
        <v>42</v>
      </c>
      <c r="I55" s="23" t="s">
        <v>69</v>
      </c>
      <c r="N55" s="34"/>
    </row>
    <row r="56" spans="2:14" ht="12.75" x14ac:dyDescent="0.35">
      <c r="B56" s="21" t="str">
        <f t="shared" si="0"/>
        <v>ERR10221502_NC_026435.1_submittername</v>
      </c>
      <c r="C56" s="1" t="str">
        <f t="shared" si="1"/>
        <v>ERR10221502_NC_026435.1_submittername.fa</v>
      </c>
      <c r="D56" s="39" t="s">
        <v>68</v>
      </c>
      <c r="E56" s="22" t="s">
        <v>54</v>
      </c>
      <c r="F56" s="22" t="s">
        <v>55</v>
      </c>
      <c r="G56" s="23" t="s">
        <v>41</v>
      </c>
      <c r="H56" s="23" t="s">
        <v>42</v>
      </c>
      <c r="I56" s="23" t="s">
        <v>69</v>
      </c>
      <c r="N56" s="34"/>
    </row>
    <row r="57" spans="2:14" ht="12.75" x14ac:dyDescent="0.35">
      <c r="B57" s="21" t="str">
        <f t="shared" si="0"/>
        <v>ERR10221502_NC_026437.1_submittername</v>
      </c>
      <c r="C57" s="1" t="str">
        <f t="shared" si="1"/>
        <v>ERR10221502_NC_026437.1_submittername.fa</v>
      </c>
      <c r="D57" s="39" t="s">
        <v>68</v>
      </c>
      <c r="E57" s="22" t="s">
        <v>56</v>
      </c>
      <c r="F57" s="22" t="s">
        <v>57</v>
      </c>
      <c r="G57" s="23" t="s">
        <v>41</v>
      </c>
      <c r="H57" s="23" t="s">
        <v>42</v>
      </c>
      <c r="I57" s="23" t="s">
        <v>69</v>
      </c>
      <c r="N57" s="34"/>
    </row>
    <row r="58" spans="2:14" ht="12.75" x14ac:dyDescent="0.35">
      <c r="B58" s="21" t="str">
        <f t="shared" si="0"/>
        <v>ERR10221502_NC_026433.1_submittername</v>
      </c>
      <c r="C58" s="1" t="str">
        <f t="shared" si="1"/>
        <v>ERR10221502_NC_026433.1_submittername.fa</v>
      </c>
      <c r="D58" s="39" t="s">
        <v>68</v>
      </c>
      <c r="E58" s="22" t="s">
        <v>58</v>
      </c>
      <c r="F58" s="22" t="s">
        <v>59</v>
      </c>
      <c r="G58" s="23" t="s">
        <v>41</v>
      </c>
      <c r="H58" s="23" t="s">
        <v>42</v>
      </c>
      <c r="I58" s="23" t="s">
        <v>69</v>
      </c>
      <c r="N58" s="34"/>
    </row>
    <row r="59" spans="2:14" ht="12.75" x14ac:dyDescent="0.35">
      <c r="B59" s="21" t="str">
        <f t="shared" si="0"/>
        <v>ERR10221502_NC_026436.1_submittername</v>
      </c>
      <c r="C59" s="1" t="str">
        <f t="shared" si="1"/>
        <v>ERR10221502_NC_026436.1_submittername.fa</v>
      </c>
      <c r="D59" s="39" t="s">
        <v>68</v>
      </c>
      <c r="E59" s="22" t="s">
        <v>60</v>
      </c>
      <c r="F59" s="22" t="s">
        <v>61</v>
      </c>
      <c r="G59" s="23" t="s">
        <v>41</v>
      </c>
      <c r="H59" s="23" t="s">
        <v>42</v>
      </c>
      <c r="I59" s="23" t="s">
        <v>69</v>
      </c>
      <c r="N59" s="34"/>
    </row>
    <row r="60" spans="2:14" ht="12.75" x14ac:dyDescent="0.35">
      <c r="B60" s="21" t="str">
        <f t="shared" si="0"/>
        <v>ERR10221502_NC_026434.1_submittername</v>
      </c>
      <c r="C60" s="1" t="str">
        <f t="shared" si="1"/>
        <v>ERR10221502_NC_026434.1_submittername.fa</v>
      </c>
      <c r="D60" s="39" t="s">
        <v>68</v>
      </c>
      <c r="E60" s="22" t="s">
        <v>62</v>
      </c>
      <c r="F60" s="22" t="s">
        <v>63</v>
      </c>
      <c r="G60" s="23" t="s">
        <v>41</v>
      </c>
      <c r="H60" s="23" t="s">
        <v>42</v>
      </c>
      <c r="I60" s="23" t="s">
        <v>69</v>
      </c>
      <c r="N60" s="34"/>
    </row>
    <row r="61" spans="2:14" ht="12.75" x14ac:dyDescent="0.35">
      <c r="B61" s="21" t="str">
        <f t="shared" si="0"/>
        <v>ERR10221502_NC_026431.1_submittername</v>
      </c>
      <c r="C61" s="1" t="str">
        <f t="shared" si="1"/>
        <v>ERR10221502_NC_026431.1_submittername.fa</v>
      </c>
      <c r="D61" s="39" t="s">
        <v>68</v>
      </c>
      <c r="E61" s="22" t="s">
        <v>64</v>
      </c>
      <c r="F61" s="22" t="s">
        <v>65</v>
      </c>
      <c r="G61" s="23" t="s">
        <v>41</v>
      </c>
      <c r="H61" s="23" t="s">
        <v>42</v>
      </c>
      <c r="I61" s="23" t="s">
        <v>69</v>
      </c>
      <c r="N61" s="34"/>
    </row>
    <row r="62" spans="2:14" ht="12.75" x14ac:dyDescent="0.35">
      <c r="B62" s="26" t="str">
        <f t="shared" si="0"/>
        <v>ERR10221502_NC_026432.1_submittername</v>
      </c>
      <c r="C62" s="27" t="str">
        <f t="shared" si="1"/>
        <v>ERR10221502_NC_026432.1_submittername.fa</v>
      </c>
      <c r="D62" s="40" t="s">
        <v>68</v>
      </c>
      <c r="E62" s="28" t="s">
        <v>66</v>
      </c>
      <c r="F62" s="28" t="s">
        <v>67</v>
      </c>
      <c r="G62" s="29" t="s">
        <v>41</v>
      </c>
      <c r="H62" s="29" t="s">
        <v>42</v>
      </c>
      <c r="I62" s="29" t="s">
        <v>69</v>
      </c>
      <c r="J62" s="27"/>
      <c r="K62" s="27"/>
      <c r="L62" s="27"/>
      <c r="M62" s="27"/>
      <c r="N62" s="37"/>
    </row>
    <row r="63" spans="2:14" ht="12.75" x14ac:dyDescent="0.35">
      <c r="B63" s="21" t="str">
        <f t="shared" si="0"/>
        <v>SRR8032432_NC_026438.1_submittername</v>
      </c>
      <c r="C63" s="1" t="str">
        <f t="shared" si="1"/>
        <v>SRR8032432_NC_026438.1_submittername.fa</v>
      </c>
      <c r="D63" s="1" t="s">
        <v>70</v>
      </c>
      <c r="E63" s="22" t="s">
        <v>51</v>
      </c>
      <c r="F63" s="22" t="s">
        <v>52</v>
      </c>
      <c r="G63" s="23" t="s">
        <v>23</v>
      </c>
      <c r="H63" s="23" t="s">
        <v>24</v>
      </c>
      <c r="I63" s="23" t="s">
        <v>25</v>
      </c>
      <c r="N63" s="34"/>
    </row>
    <row r="64" spans="2:14" ht="12.75" x14ac:dyDescent="0.35">
      <c r="B64" s="21" t="str">
        <f t="shared" si="0"/>
        <v>SRR8032432_NC_026435.1_submittername</v>
      </c>
      <c r="C64" s="1" t="str">
        <f t="shared" si="1"/>
        <v>SRR8032432_NC_026435.1_submittername.fa</v>
      </c>
      <c r="D64" s="1" t="s">
        <v>70</v>
      </c>
      <c r="E64" s="22" t="s">
        <v>54</v>
      </c>
      <c r="F64" s="22" t="s">
        <v>55</v>
      </c>
      <c r="G64" s="23" t="s">
        <v>23</v>
      </c>
      <c r="H64" s="23" t="s">
        <v>24</v>
      </c>
      <c r="I64" s="23" t="s">
        <v>25</v>
      </c>
      <c r="N64" s="34"/>
    </row>
    <row r="65" spans="2:18" ht="12.75" x14ac:dyDescent="0.35">
      <c r="B65" s="21" t="str">
        <f t="shared" si="0"/>
        <v>SRR8032432_NC_026437.1_submittername</v>
      </c>
      <c r="C65" s="1" t="str">
        <f t="shared" si="1"/>
        <v>SRR8032432_NC_026437.1_submittername.fa</v>
      </c>
      <c r="D65" s="1" t="s">
        <v>70</v>
      </c>
      <c r="E65" s="22" t="s">
        <v>56</v>
      </c>
      <c r="F65" s="22" t="s">
        <v>57</v>
      </c>
      <c r="G65" s="23" t="s">
        <v>23</v>
      </c>
      <c r="H65" s="23" t="s">
        <v>24</v>
      </c>
      <c r="I65" s="23" t="s">
        <v>25</v>
      </c>
      <c r="N65" s="34"/>
    </row>
    <row r="66" spans="2:18" ht="12.75" x14ac:dyDescent="0.35">
      <c r="B66" s="21" t="str">
        <f t="shared" si="0"/>
        <v>SRR8032432_NC_026433.1_submittername</v>
      </c>
      <c r="C66" s="1" t="str">
        <f t="shared" si="1"/>
        <v>SRR8032432_NC_026433.1_submittername.fa</v>
      </c>
      <c r="D66" s="1" t="s">
        <v>70</v>
      </c>
      <c r="E66" s="22" t="s">
        <v>58</v>
      </c>
      <c r="F66" s="22" t="s">
        <v>59</v>
      </c>
      <c r="G66" s="23" t="s">
        <v>23</v>
      </c>
      <c r="H66" s="23" t="s">
        <v>24</v>
      </c>
      <c r="I66" s="23" t="s">
        <v>25</v>
      </c>
      <c r="N66" s="34"/>
    </row>
    <row r="67" spans="2:18" ht="12.75" x14ac:dyDescent="0.35">
      <c r="B67" s="21" t="str">
        <f t="shared" si="0"/>
        <v>SRR8032432_NC_026436.1_submittername</v>
      </c>
      <c r="C67" s="1" t="str">
        <f t="shared" si="1"/>
        <v>SRR8032432_NC_026436.1_submittername.fa</v>
      </c>
      <c r="D67" s="1" t="s">
        <v>70</v>
      </c>
      <c r="E67" s="22" t="s">
        <v>60</v>
      </c>
      <c r="F67" s="22" t="s">
        <v>61</v>
      </c>
      <c r="G67" s="23" t="s">
        <v>23</v>
      </c>
      <c r="H67" s="23" t="s">
        <v>24</v>
      </c>
      <c r="I67" s="23" t="s">
        <v>25</v>
      </c>
      <c r="N67" s="34"/>
    </row>
    <row r="68" spans="2:18" ht="12.75" x14ac:dyDescent="0.35">
      <c r="B68" s="21" t="str">
        <f t="shared" si="0"/>
        <v>SRR8032432_NC_026434.1_submittername</v>
      </c>
      <c r="C68" s="1" t="str">
        <f t="shared" si="1"/>
        <v>SRR8032432_NC_026434.1_submittername.fa</v>
      </c>
      <c r="D68" s="1" t="s">
        <v>70</v>
      </c>
      <c r="E68" s="22" t="s">
        <v>62</v>
      </c>
      <c r="F68" s="22" t="s">
        <v>63</v>
      </c>
      <c r="G68" s="23" t="s">
        <v>23</v>
      </c>
      <c r="H68" s="23" t="s">
        <v>24</v>
      </c>
      <c r="I68" s="23" t="s">
        <v>25</v>
      </c>
      <c r="N68" s="34"/>
    </row>
    <row r="69" spans="2:18" ht="12.75" x14ac:dyDescent="0.35">
      <c r="B69" s="21" t="str">
        <f t="shared" si="0"/>
        <v>SRR8032432_NC_026431.1_submittername</v>
      </c>
      <c r="C69" s="1" t="str">
        <f t="shared" si="1"/>
        <v>SRR8032432_NC_026431.1_submittername.fa</v>
      </c>
      <c r="D69" s="1" t="s">
        <v>70</v>
      </c>
      <c r="E69" s="22" t="s">
        <v>64</v>
      </c>
      <c r="F69" s="22" t="s">
        <v>65</v>
      </c>
      <c r="G69" s="23" t="s">
        <v>23</v>
      </c>
      <c r="H69" s="23" t="s">
        <v>24</v>
      </c>
      <c r="I69" s="23" t="s">
        <v>25</v>
      </c>
      <c r="N69" s="34"/>
    </row>
    <row r="70" spans="2:18" ht="12.75" x14ac:dyDescent="0.35">
      <c r="B70" s="26" t="str">
        <f t="shared" si="0"/>
        <v>SRR8032432_NC_026432.1_submittername</v>
      </c>
      <c r="C70" s="27" t="str">
        <f t="shared" si="1"/>
        <v>SRR8032432_NC_026432.1_submittername.fa</v>
      </c>
      <c r="D70" s="27" t="s">
        <v>70</v>
      </c>
      <c r="E70" s="28" t="s">
        <v>66</v>
      </c>
      <c r="F70" s="28" t="s">
        <v>67</v>
      </c>
      <c r="G70" s="29" t="s">
        <v>23</v>
      </c>
      <c r="H70" s="29" t="s">
        <v>24</v>
      </c>
      <c r="I70" s="29" t="s">
        <v>25</v>
      </c>
      <c r="J70" s="27"/>
      <c r="K70" s="27"/>
      <c r="L70" s="27"/>
      <c r="M70" s="27"/>
      <c r="N70" s="37"/>
    </row>
    <row r="71" spans="2:18" ht="12.75" x14ac:dyDescent="0.35">
      <c r="B71" s="21" t="str">
        <f t="shared" si="0"/>
        <v>ERR3474640_NC_007372.1_submittername</v>
      </c>
      <c r="C71" s="1" t="str">
        <f t="shared" si="1"/>
        <v>ERR3474640_NC_007372.1_submittername.fa</v>
      </c>
      <c r="D71" s="22" t="s">
        <v>71</v>
      </c>
      <c r="E71" s="22" t="s">
        <v>51</v>
      </c>
      <c r="F71" s="22" t="s">
        <v>72</v>
      </c>
      <c r="G71" s="23" t="s">
        <v>23</v>
      </c>
      <c r="H71" s="23" t="s">
        <v>24</v>
      </c>
      <c r="I71" s="23" t="s">
        <v>69</v>
      </c>
      <c r="J71" s="22"/>
      <c r="K71" s="22"/>
      <c r="L71" s="22"/>
      <c r="M71" s="25"/>
      <c r="N71" s="24"/>
      <c r="O71" s="22"/>
      <c r="P71" s="22"/>
      <c r="Q71" s="22"/>
      <c r="R71" s="22"/>
    </row>
    <row r="72" spans="2:18" ht="12.75" x14ac:dyDescent="0.35">
      <c r="B72" s="21" t="str">
        <f t="shared" si="0"/>
        <v>ERR3474640_NC_007373.1_submittername</v>
      </c>
      <c r="C72" s="1" t="str">
        <f t="shared" si="1"/>
        <v>ERR3474640_NC_007373.1_submittername.fa</v>
      </c>
      <c r="D72" s="22" t="s">
        <v>71</v>
      </c>
      <c r="E72" s="22" t="s">
        <v>54</v>
      </c>
      <c r="F72" s="22" t="s">
        <v>73</v>
      </c>
      <c r="G72" s="23" t="s">
        <v>23</v>
      </c>
      <c r="H72" s="23" t="s">
        <v>24</v>
      </c>
      <c r="I72" s="23" t="s">
        <v>69</v>
      </c>
      <c r="J72" s="22"/>
      <c r="K72" s="22"/>
      <c r="L72" s="22"/>
      <c r="M72" s="25"/>
      <c r="N72" s="24"/>
      <c r="O72" s="22"/>
      <c r="P72" s="22"/>
      <c r="Q72" s="22"/>
      <c r="R72" s="22"/>
    </row>
    <row r="73" spans="2:18" ht="12.75" x14ac:dyDescent="0.35">
      <c r="B73" s="21" t="str">
        <f t="shared" si="0"/>
        <v>ERR3474640_NC_007371.1_submittername</v>
      </c>
      <c r="C73" s="1" t="str">
        <f t="shared" si="1"/>
        <v>ERR3474640_NC_007371.1_submittername.fa</v>
      </c>
      <c r="D73" s="22" t="s">
        <v>71</v>
      </c>
      <c r="E73" s="22" t="s">
        <v>56</v>
      </c>
      <c r="F73" s="22" t="s">
        <v>74</v>
      </c>
      <c r="G73" s="23" t="s">
        <v>23</v>
      </c>
      <c r="H73" s="23" t="s">
        <v>24</v>
      </c>
      <c r="I73" s="23" t="s">
        <v>69</v>
      </c>
      <c r="J73" s="22"/>
      <c r="K73" s="22"/>
      <c r="L73" s="22"/>
      <c r="M73" s="25"/>
      <c r="N73" s="24"/>
      <c r="O73" s="22"/>
      <c r="P73" s="22"/>
      <c r="Q73" s="22"/>
      <c r="R73" s="22"/>
    </row>
    <row r="74" spans="2:18" ht="12.75" x14ac:dyDescent="0.35">
      <c r="B74" s="21" t="str">
        <f t="shared" si="0"/>
        <v>ERR3474640_NC_007366.1_submittername</v>
      </c>
      <c r="C74" s="1" t="str">
        <f t="shared" si="1"/>
        <v>ERR3474640_NC_007366.1_submittername.fa</v>
      </c>
      <c r="D74" s="22" t="s">
        <v>71</v>
      </c>
      <c r="E74" s="22" t="s">
        <v>58</v>
      </c>
      <c r="F74" s="22" t="s">
        <v>75</v>
      </c>
      <c r="G74" s="23" t="s">
        <v>23</v>
      </c>
      <c r="H74" s="23" t="s">
        <v>24</v>
      </c>
      <c r="I74" s="23" t="s">
        <v>69</v>
      </c>
      <c r="J74" s="22"/>
      <c r="K74" s="22"/>
      <c r="L74" s="22"/>
      <c r="M74" s="25"/>
      <c r="N74" s="24"/>
      <c r="O74" s="22"/>
      <c r="P74" s="22"/>
      <c r="Q74" s="22"/>
      <c r="R74" s="22"/>
    </row>
    <row r="75" spans="2:18" ht="12.75" x14ac:dyDescent="0.35">
      <c r="B75" s="21" t="str">
        <f t="shared" si="0"/>
        <v>ERR3474640_NC_007369.1_submittername</v>
      </c>
      <c r="C75" s="1" t="str">
        <f t="shared" si="1"/>
        <v>ERR3474640_NC_007369.1_submittername.fa</v>
      </c>
      <c r="D75" s="22" t="s">
        <v>71</v>
      </c>
      <c r="E75" s="22" t="s">
        <v>60</v>
      </c>
      <c r="F75" s="22" t="s">
        <v>76</v>
      </c>
      <c r="G75" s="23" t="s">
        <v>23</v>
      </c>
      <c r="H75" s="23" t="s">
        <v>24</v>
      </c>
      <c r="I75" s="23" t="s">
        <v>69</v>
      </c>
      <c r="J75" s="22"/>
      <c r="K75" s="22"/>
      <c r="L75" s="22"/>
      <c r="M75" s="25"/>
      <c r="N75" s="24"/>
      <c r="O75" s="22"/>
      <c r="P75" s="22"/>
      <c r="Q75" s="22"/>
      <c r="R75" s="22"/>
    </row>
    <row r="76" spans="2:18" ht="12.75" x14ac:dyDescent="0.35">
      <c r="B76" s="21" t="str">
        <f t="shared" si="0"/>
        <v>ERR3474640_NC_007368.1_submittername</v>
      </c>
      <c r="C76" s="1" t="str">
        <f t="shared" si="1"/>
        <v>ERR3474640_NC_007368.1_submittername.fa</v>
      </c>
      <c r="D76" s="22" t="s">
        <v>71</v>
      </c>
      <c r="E76" s="22" t="s">
        <v>62</v>
      </c>
      <c r="F76" s="22" t="s">
        <v>77</v>
      </c>
      <c r="G76" s="23" t="s">
        <v>23</v>
      </c>
      <c r="H76" s="23" t="s">
        <v>24</v>
      </c>
      <c r="I76" s="23" t="s">
        <v>69</v>
      </c>
      <c r="J76" s="22"/>
      <c r="K76" s="22"/>
      <c r="L76" s="22"/>
      <c r="M76" s="25"/>
      <c r="N76" s="24"/>
      <c r="O76" s="22"/>
      <c r="P76" s="22"/>
      <c r="Q76" s="22"/>
      <c r="R76" s="22"/>
    </row>
    <row r="77" spans="2:18" ht="12.75" x14ac:dyDescent="0.35">
      <c r="B77" s="21" t="str">
        <f t="shared" si="0"/>
        <v>ERR3474640_NC_007367.1_submittername</v>
      </c>
      <c r="C77" s="1" t="str">
        <f t="shared" si="1"/>
        <v>ERR3474640_NC_007367.1_submittername.fa</v>
      </c>
      <c r="D77" s="22" t="s">
        <v>71</v>
      </c>
      <c r="E77" s="22" t="s">
        <v>64</v>
      </c>
      <c r="F77" s="22" t="s">
        <v>78</v>
      </c>
      <c r="G77" s="23" t="s">
        <v>23</v>
      </c>
      <c r="H77" s="23" t="s">
        <v>24</v>
      </c>
      <c r="I77" s="23" t="s">
        <v>69</v>
      </c>
      <c r="J77" s="22"/>
      <c r="K77" s="22"/>
      <c r="L77" s="22"/>
      <c r="M77" s="25"/>
      <c r="N77" s="24"/>
      <c r="O77" s="22"/>
      <c r="P77" s="22"/>
      <c r="Q77" s="22"/>
      <c r="R77" s="22"/>
    </row>
    <row r="78" spans="2:18" ht="12.75" x14ac:dyDescent="0.35">
      <c r="B78" s="26" t="str">
        <f t="shared" si="0"/>
        <v>ERR3474640_NC_007370.1_submittername</v>
      </c>
      <c r="C78" s="27" t="str">
        <f t="shared" si="1"/>
        <v>ERR3474640_NC_007370.1_submittername.fa</v>
      </c>
      <c r="D78" s="28" t="s">
        <v>71</v>
      </c>
      <c r="E78" s="28" t="s">
        <v>66</v>
      </c>
      <c r="F78" s="28" t="s">
        <v>79</v>
      </c>
      <c r="G78" s="29" t="s">
        <v>23</v>
      </c>
      <c r="H78" s="29" t="s">
        <v>24</v>
      </c>
      <c r="I78" s="29" t="s">
        <v>69</v>
      </c>
      <c r="J78" s="28"/>
      <c r="K78" s="28"/>
      <c r="L78" s="28"/>
      <c r="M78" s="41"/>
      <c r="N78" s="30"/>
      <c r="O78" s="28"/>
      <c r="P78" s="28"/>
      <c r="Q78" s="28"/>
      <c r="R78" s="28"/>
    </row>
    <row r="79" spans="2:18" ht="12.75" x14ac:dyDescent="0.35">
      <c r="B79" s="21" t="str">
        <f t="shared" si="0"/>
        <v>SRR17349351_OL782155.1_submittername</v>
      </c>
      <c r="C79" s="1" t="str">
        <f t="shared" si="1"/>
        <v>SRR17349351_OL782155.1_submittername.fa</v>
      </c>
      <c r="D79" s="22" t="s">
        <v>80</v>
      </c>
      <c r="E79" s="22" t="s">
        <v>51</v>
      </c>
      <c r="F79" s="22" t="s">
        <v>81</v>
      </c>
      <c r="G79" s="23" t="s">
        <v>23</v>
      </c>
      <c r="H79" s="23" t="s">
        <v>42</v>
      </c>
      <c r="I79" s="23" t="s">
        <v>69</v>
      </c>
      <c r="N79" s="34"/>
    </row>
    <row r="80" spans="2:18" ht="12.75" x14ac:dyDescent="0.35">
      <c r="B80" s="21" t="str">
        <f t="shared" si="0"/>
        <v>SRR17349351_OL782156.1_submittername</v>
      </c>
      <c r="C80" s="1" t="str">
        <f t="shared" si="1"/>
        <v>SRR17349351_OL782156.1_submittername.fa</v>
      </c>
      <c r="D80" s="22" t="s">
        <v>80</v>
      </c>
      <c r="E80" s="22" t="s">
        <v>54</v>
      </c>
      <c r="F80" s="22" t="s">
        <v>82</v>
      </c>
      <c r="G80" s="23" t="s">
        <v>23</v>
      </c>
      <c r="H80" s="23" t="s">
        <v>42</v>
      </c>
      <c r="I80" s="23" t="s">
        <v>69</v>
      </c>
      <c r="N80" s="34"/>
    </row>
    <row r="81" spans="2:14" ht="12.75" x14ac:dyDescent="0.35">
      <c r="B81" s="21" t="str">
        <f t="shared" si="0"/>
        <v>SRR17349351_OL782157.1_submittername</v>
      </c>
      <c r="C81" s="1" t="str">
        <f t="shared" si="1"/>
        <v>SRR17349351_OL782157.1_submittername.fa</v>
      </c>
      <c r="D81" s="22" t="s">
        <v>80</v>
      </c>
      <c r="E81" s="22" t="s">
        <v>56</v>
      </c>
      <c r="F81" s="22" t="s">
        <v>83</v>
      </c>
      <c r="G81" s="23" t="s">
        <v>23</v>
      </c>
      <c r="H81" s="23" t="s">
        <v>42</v>
      </c>
      <c r="I81" s="23" t="s">
        <v>69</v>
      </c>
      <c r="N81" s="34"/>
    </row>
    <row r="82" spans="2:14" ht="12.75" x14ac:dyDescent="0.35">
      <c r="B82" s="21" t="str">
        <f t="shared" si="0"/>
        <v>SRR17349351_OL782158.1_submittername</v>
      </c>
      <c r="C82" s="1" t="str">
        <f t="shared" si="1"/>
        <v>SRR17349351_OL782158.1_submittername.fa</v>
      </c>
      <c r="D82" s="22" t="s">
        <v>80</v>
      </c>
      <c r="E82" s="22" t="s">
        <v>58</v>
      </c>
      <c r="F82" s="22" t="s">
        <v>84</v>
      </c>
      <c r="G82" s="23" t="s">
        <v>23</v>
      </c>
      <c r="H82" s="23" t="s">
        <v>42</v>
      </c>
      <c r="I82" s="23" t="s">
        <v>69</v>
      </c>
      <c r="N82" s="34"/>
    </row>
    <row r="83" spans="2:14" ht="12.75" x14ac:dyDescent="0.35">
      <c r="B83" s="21" t="str">
        <f t="shared" si="0"/>
        <v>SRR17349351_OL782159.1_submittername</v>
      </c>
      <c r="C83" s="1" t="str">
        <f t="shared" si="1"/>
        <v>SRR17349351_OL782159.1_submittername.fa</v>
      </c>
      <c r="D83" s="22" t="s">
        <v>80</v>
      </c>
      <c r="E83" s="22" t="s">
        <v>60</v>
      </c>
      <c r="F83" s="22" t="s">
        <v>85</v>
      </c>
      <c r="G83" s="23" t="s">
        <v>23</v>
      </c>
      <c r="H83" s="23" t="s">
        <v>42</v>
      </c>
      <c r="I83" s="23" t="s">
        <v>69</v>
      </c>
      <c r="N83" s="34"/>
    </row>
    <row r="84" spans="2:14" ht="12.75" x14ac:dyDescent="0.35">
      <c r="B84" s="21" t="str">
        <f t="shared" si="0"/>
        <v>SRR17349351_OL782160.1_submittername</v>
      </c>
      <c r="C84" s="1" t="str">
        <f t="shared" si="1"/>
        <v>SRR17349351_OL782160.1_submittername.fa</v>
      </c>
      <c r="D84" s="22" t="s">
        <v>80</v>
      </c>
      <c r="E84" s="22" t="s">
        <v>62</v>
      </c>
      <c r="F84" s="22" t="s">
        <v>86</v>
      </c>
      <c r="G84" s="23" t="s">
        <v>23</v>
      </c>
      <c r="H84" s="23" t="s">
        <v>42</v>
      </c>
      <c r="I84" s="23" t="s">
        <v>69</v>
      </c>
      <c r="N84" s="34"/>
    </row>
    <row r="85" spans="2:14" ht="12.75" x14ac:dyDescent="0.35">
      <c r="B85" s="21" t="str">
        <f t="shared" si="0"/>
        <v>SRR17349351_OL782161.1_submittername</v>
      </c>
      <c r="C85" s="1" t="str">
        <f t="shared" si="1"/>
        <v>SRR17349351_OL782161.1_submittername.fa</v>
      </c>
      <c r="D85" s="22" t="s">
        <v>80</v>
      </c>
      <c r="E85" s="22" t="s">
        <v>64</v>
      </c>
      <c r="F85" s="22" t="s">
        <v>87</v>
      </c>
      <c r="G85" s="23" t="s">
        <v>23</v>
      </c>
      <c r="H85" s="23" t="s">
        <v>42</v>
      </c>
      <c r="I85" s="23" t="s">
        <v>69</v>
      </c>
      <c r="N85" s="34"/>
    </row>
    <row r="86" spans="2:14" ht="12.75" x14ac:dyDescent="0.35">
      <c r="B86" s="26" t="str">
        <f t="shared" si="0"/>
        <v>SRR17349351_OL782162.1_submittername</v>
      </c>
      <c r="C86" s="27" t="str">
        <f t="shared" si="1"/>
        <v>SRR17349351_OL782162.1_submittername.fa</v>
      </c>
      <c r="D86" s="28" t="s">
        <v>80</v>
      </c>
      <c r="E86" s="28" t="s">
        <v>66</v>
      </c>
      <c r="F86" s="28" t="s">
        <v>88</v>
      </c>
      <c r="G86" s="29" t="s">
        <v>23</v>
      </c>
      <c r="H86" s="29" t="s">
        <v>42</v>
      </c>
      <c r="I86" s="29" t="s">
        <v>69</v>
      </c>
      <c r="J86" s="27"/>
      <c r="K86" s="27"/>
      <c r="L86" s="27"/>
      <c r="M86" s="27"/>
      <c r="N86" s="37"/>
    </row>
    <row r="87" spans="2:14" ht="13.15" x14ac:dyDescent="0.4">
      <c r="B87" s="21" t="str">
        <f t="shared" si="0"/>
        <v>ERR11658778_DQ266097.1_submittername</v>
      </c>
      <c r="C87" s="1" t="str">
        <f t="shared" si="1"/>
        <v>ERR11658778_DQ266097.1_submittername.fa</v>
      </c>
      <c r="D87" s="22" t="s">
        <v>89</v>
      </c>
      <c r="E87" s="22" t="s">
        <v>51</v>
      </c>
      <c r="F87" s="22" t="s">
        <v>90</v>
      </c>
      <c r="G87" s="23" t="s">
        <v>23</v>
      </c>
      <c r="H87" s="32" t="s">
        <v>45</v>
      </c>
      <c r="I87" s="23" t="s">
        <v>46</v>
      </c>
      <c r="N87" s="34"/>
    </row>
    <row r="88" spans="2:14" ht="13.15" x14ac:dyDescent="0.4">
      <c r="B88" s="21" t="str">
        <f t="shared" si="0"/>
        <v>ERR11658778_DQ266098.1_submittername</v>
      </c>
      <c r="C88" s="1" t="str">
        <f t="shared" si="1"/>
        <v>ERR11658778_DQ266098.1_submittername.fa</v>
      </c>
      <c r="D88" s="22" t="s">
        <v>89</v>
      </c>
      <c r="E88" s="22" t="s">
        <v>54</v>
      </c>
      <c r="F88" s="22" t="s">
        <v>91</v>
      </c>
      <c r="G88" s="23" t="s">
        <v>23</v>
      </c>
      <c r="H88" s="32" t="s">
        <v>45</v>
      </c>
      <c r="I88" s="23" t="s">
        <v>46</v>
      </c>
      <c r="N88" s="34"/>
    </row>
    <row r="89" spans="2:14" ht="13.15" x14ac:dyDescent="0.4">
      <c r="B89" s="21" t="str">
        <f t="shared" si="0"/>
        <v>ERR11658778_DQ266099.1_submittername</v>
      </c>
      <c r="C89" s="1" t="str">
        <f t="shared" si="1"/>
        <v>ERR11658778_DQ266099.1_submittername.fa</v>
      </c>
      <c r="D89" s="22" t="s">
        <v>89</v>
      </c>
      <c r="E89" s="22" t="s">
        <v>56</v>
      </c>
      <c r="F89" s="22" t="s">
        <v>92</v>
      </c>
      <c r="G89" s="23" t="s">
        <v>23</v>
      </c>
      <c r="H89" s="32" t="s">
        <v>45</v>
      </c>
      <c r="I89" s="23" t="s">
        <v>46</v>
      </c>
      <c r="N89" s="34"/>
    </row>
    <row r="90" spans="2:14" ht="13.15" x14ac:dyDescent="0.4">
      <c r="B90" s="21" t="str">
        <f t="shared" si="0"/>
        <v>ERR11658778_DQ266094.1_submittername</v>
      </c>
      <c r="C90" s="1" t="str">
        <f t="shared" si="1"/>
        <v>ERR11658778_DQ266094.1_submittername.fa</v>
      </c>
      <c r="D90" s="22" t="s">
        <v>89</v>
      </c>
      <c r="E90" s="22" t="s">
        <v>58</v>
      </c>
      <c r="F90" s="22" t="s">
        <v>93</v>
      </c>
      <c r="G90" s="23" t="s">
        <v>23</v>
      </c>
      <c r="H90" s="32" t="s">
        <v>45</v>
      </c>
      <c r="I90" s="23" t="s">
        <v>46</v>
      </c>
      <c r="N90" s="34"/>
    </row>
    <row r="91" spans="2:14" ht="13.15" x14ac:dyDescent="0.4">
      <c r="B91" s="21" t="str">
        <f t="shared" si="0"/>
        <v>ERR11658778_DQ266096.1_submittername</v>
      </c>
      <c r="C91" s="1" t="str">
        <f t="shared" si="1"/>
        <v>ERR11658778_DQ266096.1_submittername.fa</v>
      </c>
      <c r="D91" s="22" t="s">
        <v>89</v>
      </c>
      <c r="E91" s="22" t="s">
        <v>60</v>
      </c>
      <c r="F91" s="22" t="s">
        <v>94</v>
      </c>
      <c r="G91" s="23" t="s">
        <v>23</v>
      </c>
      <c r="H91" s="32" t="s">
        <v>45</v>
      </c>
      <c r="I91" s="23" t="s">
        <v>46</v>
      </c>
      <c r="N91" s="34"/>
    </row>
    <row r="92" spans="2:14" ht="13.15" x14ac:dyDescent="0.4">
      <c r="B92" s="21" t="str">
        <f t="shared" si="0"/>
        <v>ERR11658778_DQ266095.1_submittername</v>
      </c>
      <c r="C92" s="1" t="str">
        <f t="shared" si="1"/>
        <v>ERR11658778_DQ266095.1_submittername.fa</v>
      </c>
      <c r="D92" s="22" t="s">
        <v>89</v>
      </c>
      <c r="E92" s="22" t="s">
        <v>62</v>
      </c>
      <c r="F92" s="22" t="s">
        <v>95</v>
      </c>
      <c r="G92" s="23" t="s">
        <v>23</v>
      </c>
      <c r="H92" s="32" t="s">
        <v>45</v>
      </c>
      <c r="I92" s="23" t="s">
        <v>46</v>
      </c>
      <c r="N92" s="34"/>
    </row>
    <row r="93" spans="2:14" ht="13.15" x14ac:dyDescent="0.4">
      <c r="B93" s="21" t="str">
        <f t="shared" si="0"/>
        <v>ERR11658778_DQ266100.1_submittername</v>
      </c>
      <c r="C93" s="1" t="str">
        <f t="shared" si="1"/>
        <v>ERR11658778_DQ266100.1_submittername.fa</v>
      </c>
      <c r="D93" s="22" t="s">
        <v>89</v>
      </c>
      <c r="E93" s="22" t="s">
        <v>64</v>
      </c>
      <c r="F93" s="22" t="s">
        <v>96</v>
      </c>
      <c r="G93" s="23" t="s">
        <v>23</v>
      </c>
      <c r="H93" s="32" t="s">
        <v>45</v>
      </c>
      <c r="I93" s="23" t="s">
        <v>46</v>
      </c>
      <c r="N93" s="34"/>
    </row>
    <row r="94" spans="2:14" ht="13.15" x14ac:dyDescent="0.4">
      <c r="B94" s="26" t="str">
        <f t="shared" si="0"/>
        <v>ERR11658778_DQ266101.1_submittername</v>
      </c>
      <c r="C94" s="27" t="str">
        <f t="shared" si="1"/>
        <v>ERR11658778_DQ266101.1_submittername.fa</v>
      </c>
      <c r="D94" s="28" t="s">
        <v>89</v>
      </c>
      <c r="E94" s="28" t="s">
        <v>66</v>
      </c>
      <c r="F94" s="28" t="s">
        <v>97</v>
      </c>
      <c r="G94" s="29" t="s">
        <v>23</v>
      </c>
      <c r="H94" s="36" t="s">
        <v>45</v>
      </c>
      <c r="I94" s="29" t="s">
        <v>46</v>
      </c>
      <c r="J94" s="27"/>
      <c r="K94" s="27"/>
      <c r="L94" s="27"/>
      <c r="M94" s="27"/>
      <c r="N94" s="37"/>
    </row>
    <row r="95" spans="2:14" ht="12.75" x14ac:dyDescent="0.35">
      <c r="B95" s="21" t="str">
        <f t="shared" si="0"/>
        <v>SRR28460508_NC_026438.1_submittername</v>
      </c>
      <c r="C95" s="1" t="str">
        <f t="shared" si="1"/>
        <v>SRR28460508_NC_026438.1_submittername.fa</v>
      </c>
      <c r="D95" s="22" t="s">
        <v>98</v>
      </c>
      <c r="E95" s="22" t="s">
        <v>51</v>
      </c>
      <c r="F95" s="22" t="s">
        <v>52</v>
      </c>
      <c r="G95" s="23" t="s">
        <v>23</v>
      </c>
      <c r="H95" s="23" t="s">
        <v>24</v>
      </c>
      <c r="I95" s="23" t="s">
        <v>25</v>
      </c>
      <c r="N95" s="34"/>
    </row>
    <row r="96" spans="2:14" ht="12.75" x14ac:dyDescent="0.35">
      <c r="B96" s="21" t="str">
        <f t="shared" si="0"/>
        <v>SRR28460508_NC_026435.1_submittername</v>
      </c>
      <c r="C96" s="1" t="str">
        <f t="shared" si="1"/>
        <v>SRR28460508_NC_026435.1_submittername.fa</v>
      </c>
      <c r="D96" s="22" t="s">
        <v>98</v>
      </c>
      <c r="E96" s="22" t="s">
        <v>54</v>
      </c>
      <c r="F96" s="22" t="s">
        <v>55</v>
      </c>
      <c r="G96" s="23" t="s">
        <v>23</v>
      </c>
      <c r="H96" s="23" t="s">
        <v>24</v>
      </c>
      <c r="I96" s="23" t="s">
        <v>25</v>
      </c>
      <c r="N96" s="34"/>
    </row>
    <row r="97" spans="2:14" ht="12.75" x14ac:dyDescent="0.35">
      <c r="B97" s="21" t="str">
        <f t="shared" si="0"/>
        <v>SRR28460508_NC_026437.1_submittername</v>
      </c>
      <c r="C97" s="1" t="str">
        <f t="shared" si="1"/>
        <v>SRR28460508_NC_026437.1_submittername.fa</v>
      </c>
      <c r="D97" s="22" t="s">
        <v>98</v>
      </c>
      <c r="E97" s="22" t="s">
        <v>56</v>
      </c>
      <c r="F97" s="22" t="s">
        <v>57</v>
      </c>
      <c r="G97" s="23" t="s">
        <v>23</v>
      </c>
      <c r="H97" s="23" t="s">
        <v>24</v>
      </c>
      <c r="I97" s="23" t="s">
        <v>25</v>
      </c>
      <c r="N97" s="34"/>
    </row>
    <row r="98" spans="2:14" ht="12.75" x14ac:dyDescent="0.35">
      <c r="B98" s="21" t="str">
        <f t="shared" si="0"/>
        <v>SRR28460508_NC_026433.1_submittername</v>
      </c>
      <c r="C98" s="1" t="str">
        <f t="shared" si="1"/>
        <v>SRR28460508_NC_026433.1_submittername.fa</v>
      </c>
      <c r="D98" s="22" t="s">
        <v>98</v>
      </c>
      <c r="E98" s="22" t="s">
        <v>58</v>
      </c>
      <c r="F98" s="22" t="s">
        <v>59</v>
      </c>
      <c r="G98" s="23" t="s">
        <v>23</v>
      </c>
      <c r="H98" s="23" t="s">
        <v>24</v>
      </c>
      <c r="I98" s="23" t="s">
        <v>25</v>
      </c>
      <c r="N98" s="34"/>
    </row>
    <row r="99" spans="2:14" ht="12.75" x14ac:dyDescent="0.35">
      <c r="B99" s="21" t="str">
        <f t="shared" si="0"/>
        <v>SRR28460508_NC_026436.1_submittername</v>
      </c>
      <c r="C99" s="1" t="str">
        <f t="shared" si="1"/>
        <v>SRR28460508_NC_026436.1_submittername.fa</v>
      </c>
      <c r="D99" s="22" t="s">
        <v>98</v>
      </c>
      <c r="E99" s="22" t="s">
        <v>60</v>
      </c>
      <c r="F99" s="22" t="s">
        <v>61</v>
      </c>
      <c r="G99" s="23" t="s">
        <v>23</v>
      </c>
      <c r="H99" s="23" t="s">
        <v>24</v>
      </c>
      <c r="I99" s="23" t="s">
        <v>25</v>
      </c>
      <c r="N99" s="34"/>
    </row>
    <row r="100" spans="2:14" ht="12.75" x14ac:dyDescent="0.35">
      <c r="B100" s="21" t="str">
        <f t="shared" si="0"/>
        <v>SRR28460508_NC_026434.1_submittername</v>
      </c>
      <c r="C100" s="1" t="str">
        <f t="shared" si="1"/>
        <v>SRR28460508_NC_026434.1_submittername.fa</v>
      </c>
      <c r="D100" s="22" t="s">
        <v>98</v>
      </c>
      <c r="E100" s="22" t="s">
        <v>62</v>
      </c>
      <c r="F100" s="22" t="s">
        <v>63</v>
      </c>
      <c r="G100" s="23" t="s">
        <v>23</v>
      </c>
      <c r="H100" s="23" t="s">
        <v>24</v>
      </c>
      <c r="I100" s="23" t="s">
        <v>25</v>
      </c>
      <c r="N100" s="34"/>
    </row>
    <row r="101" spans="2:14" ht="12.75" x14ac:dyDescent="0.35">
      <c r="B101" s="21" t="str">
        <f t="shared" si="0"/>
        <v>SRR28460508_NC_026431.1_submittername</v>
      </c>
      <c r="C101" s="1" t="str">
        <f t="shared" si="1"/>
        <v>SRR28460508_NC_026431.1_submittername.fa</v>
      </c>
      <c r="D101" s="22" t="s">
        <v>98</v>
      </c>
      <c r="E101" s="22" t="s">
        <v>64</v>
      </c>
      <c r="F101" s="22" t="s">
        <v>65</v>
      </c>
      <c r="G101" s="23" t="s">
        <v>23</v>
      </c>
      <c r="H101" s="23" t="s">
        <v>24</v>
      </c>
      <c r="I101" s="23" t="s">
        <v>25</v>
      </c>
      <c r="N101" s="34"/>
    </row>
    <row r="102" spans="2:14" ht="12.75" x14ac:dyDescent="0.35">
      <c r="B102" s="26" t="str">
        <f t="shared" si="0"/>
        <v>SRR28460508_NC_026432.1_submittername</v>
      </c>
      <c r="C102" s="27" t="str">
        <f t="shared" si="1"/>
        <v>SRR28460508_NC_026432.1_submittername.fa</v>
      </c>
      <c r="D102" s="28" t="s">
        <v>98</v>
      </c>
      <c r="E102" s="28" t="s">
        <v>66</v>
      </c>
      <c r="F102" s="28" t="s">
        <v>67</v>
      </c>
      <c r="G102" s="29" t="s">
        <v>23</v>
      </c>
      <c r="H102" s="29" t="s">
        <v>24</v>
      </c>
      <c r="I102" s="29" t="s">
        <v>25</v>
      </c>
      <c r="J102" s="27"/>
      <c r="K102" s="27"/>
      <c r="L102" s="27"/>
      <c r="M102" s="27"/>
      <c r="N102" s="37"/>
    </row>
    <row r="103" spans="2:14" ht="12.75" x14ac:dyDescent="0.35">
      <c r="B103" s="21" t="str">
        <f t="shared" si="0"/>
        <v>SRR28460730_NC_026438.1_submittername</v>
      </c>
      <c r="C103" s="1" t="str">
        <f t="shared" si="1"/>
        <v>SRR28460730_NC_026438.1_submittername.fa</v>
      </c>
      <c r="D103" s="38" t="s">
        <v>99</v>
      </c>
      <c r="E103" s="38" t="s">
        <v>51</v>
      </c>
      <c r="F103" s="38" t="s">
        <v>52</v>
      </c>
      <c r="G103" s="42" t="s">
        <v>23</v>
      </c>
      <c r="H103" s="42" t="s">
        <v>24</v>
      </c>
      <c r="I103" s="42" t="s">
        <v>25</v>
      </c>
      <c r="N103" s="34"/>
    </row>
    <row r="104" spans="2:14" ht="12.75" x14ac:dyDescent="0.35">
      <c r="B104" s="21" t="str">
        <f t="shared" si="0"/>
        <v>SRR28460730_NC_026435.1_submittername</v>
      </c>
      <c r="C104" s="1" t="str">
        <f t="shared" si="1"/>
        <v>SRR28460730_NC_026435.1_submittername.fa</v>
      </c>
      <c r="D104" s="22" t="s">
        <v>99</v>
      </c>
      <c r="E104" s="22" t="s">
        <v>54</v>
      </c>
      <c r="F104" s="22" t="s">
        <v>55</v>
      </c>
      <c r="G104" s="23" t="s">
        <v>23</v>
      </c>
      <c r="H104" s="23" t="s">
        <v>24</v>
      </c>
      <c r="I104" s="23" t="s">
        <v>25</v>
      </c>
      <c r="N104" s="34"/>
    </row>
    <row r="105" spans="2:14" ht="12.75" x14ac:dyDescent="0.35">
      <c r="B105" s="21" t="str">
        <f t="shared" si="0"/>
        <v>SRR28460730_NC_026437.1_submittername</v>
      </c>
      <c r="C105" s="1" t="str">
        <f t="shared" si="1"/>
        <v>SRR28460730_NC_026437.1_submittername.fa</v>
      </c>
      <c r="D105" s="22" t="s">
        <v>99</v>
      </c>
      <c r="E105" s="22" t="s">
        <v>56</v>
      </c>
      <c r="F105" s="22" t="s">
        <v>57</v>
      </c>
      <c r="G105" s="23" t="s">
        <v>23</v>
      </c>
      <c r="H105" s="23" t="s">
        <v>24</v>
      </c>
      <c r="I105" s="23" t="s">
        <v>25</v>
      </c>
      <c r="N105" s="34"/>
    </row>
    <row r="106" spans="2:14" ht="12.75" x14ac:dyDescent="0.35">
      <c r="B106" s="21" t="str">
        <f t="shared" si="0"/>
        <v>SRR28460730_NC_026433.1_submittername</v>
      </c>
      <c r="C106" s="1" t="str">
        <f t="shared" si="1"/>
        <v>SRR28460730_NC_026433.1_submittername.fa</v>
      </c>
      <c r="D106" s="22" t="s">
        <v>99</v>
      </c>
      <c r="E106" s="22" t="s">
        <v>58</v>
      </c>
      <c r="F106" s="22" t="s">
        <v>59</v>
      </c>
      <c r="G106" s="23" t="s">
        <v>23</v>
      </c>
      <c r="H106" s="23" t="s">
        <v>24</v>
      </c>
      <c r="I106" s="23" t="s">
        <v>25</v>
      </c>
      <c r="N106" s="34"/>
    </row>
    <row r="107" spans="2:14" ht="12.75" x14ac:dyDescent="0.35">
      <c r="B107" s="21" t="str">
        <f t="shared" si="0"/>
        <v>SRR28460730_NC_026436.1_submittername</v>
      </c>
      <c r="C107" s="1" t="str">
        <f t="shared" si="1"/>
        <v>SRR28460730_NC_026436.1_submittername.fa</v>
      </c>
      <c r="D107" s="22" t="s">
        <v>99</v>
      </c>
      <c r="E107" s="22" t="s">
        <v>60</v>
      </c>
      <c r="F107" s="22" t="s">
        <v>61</v>
      </c>
      <c r="G107" s="23" t="s">
        <v>23</v>
      </c>
      <c r="H107" s="23" t="s">
        <v>24</v>
      </c>
      <c r="I107" s="23" t="s">
        <v>25</v>
      </c>
      <c r="N107" s="34"/>
    </row>
    <row r="108" spans="2:14" ht="12.75" x14ac:dyDescent="0.35">
      <c r="B108" s="21" t="str">
        <f t="shared" si="0"/>
        <v>SRR28460730_NC_026434.1_submittername</v>
      </c>
      <c r="C108" s="1" t="str">
        <f t="shared" si="1"/>
        <v>SRR28460730_NC_026434.1_submittername.fa</v>
      </c>
      <c r="D108" s="22" t="s">
        <v>99</v>
      </c>
      <c r="E108" s="22" t="s">
        <v>62</v>
      </c>
      <c r="F108" s="22" t="s">
        <v>63</v>
      </c>
      <c r="G108" s="23" t="s">
        <v>23</v>
      </c>
      <c r="H108" s="23" t="s">
        <v>24</v>
      </c>
      <c r="I108" s="23" t="s">
        <v>25</v>
      </c>
      <c r="N108" s="34"/>
    </row>
    <row r="109" spans="2:14" ht="12.75" x14ac:dyDescent="0.35">
      <c r="B109" s="21" t="str">
        <f t="shared" si="0"/>
        <v>SRR28460730_NC_026431.1_submittername</v>
      </c>
      <c r="C109" s="1" t="str">
        <f t="shared" si="1"/>
        <v>SRR28460730_NC_026431.1_submittername.fa</v>
      </c>
      <c r="D109" s="22" t="s">
        <v>99</v>
      </c>
      <c r="E109" s="22" t="s">
        <v>64</v>
      </c>
      <c r="F109" s="22" t="s">
        <v>65</v>
      </c>
      <c r="G109" s="23" t="s">
        <v>23</v>
      </c>
      <c r="H109" s="23" t="s">
        <v>24</v>
      </c>
      <c r="I109" s="23" t="s">
        <v>25</v>
      </c>
      <c r="N109" s="34"/>
    </row>
    <row r="110" spans="2:14" ht="12.75" x14ac:dyDescent="0.35">
      <c r="B110" s="26" t="str">
        <f t="shared" si="0"/>
        <v>SRR28460730_NC_026432.1_submittername</v>
      </c>
      <c r="C110" s="27" t="str">
        <f t="shared" si="1"/>
        <v>SRR28460730_NC_026432.1_submittername.fa</v>
      </c>
      <c r="D110" s="28" t="s">
        <v>99</v>
      </c>
      <c r="E110" s="28" t="s">
        <v>66</v>
      </c>
      <c r="F110" s="28" t="s">
        <v>67</v>
      </c>
      <c r="G110" s="29" t="s">
        <v>23</v>
      </c>
      <c r="H110" s="29" t="s">
        <v>24</v>
      </c>
      <c r="I110" s="29" t="s">
        <v>25</v>
      </c>
      <c r="J110" s="27"/>
      <c r="K110" s="27"/>
      <c r="L110" s="27"/>
      <c r="M110" s="27"/>
      <c r="N110" s="37"/>
    </row>
    <row r="111" spans="2:14" ht="12.75" x14ac:dyDescent="0.35">
      <c r="B111" s="26" t="str">
        <f t="shared" si="0"/>
        <v>SRR28460430_KY654518.1_submittername</v>
      </c>
      <c r="C111" s="27" t="str">
        <f t="shared" si="1"/>
        <v>SRR28460430_KY654518.1_submittername.fa</v>
      </c>
      <c r="D111" s="28" t="s">
        <v>100</v>
      </c>
      <c r="E111" s="28" t="s">
        <v>101</v>
      </c>
      <c r="F111" s="29" t="s">
        <v>102</v>
      </c>
      <c r="G111" s="29" t="s">
        <v>23</v>
      </c>
      <c r="H111" s="29" t="s">
        <v>24</v>
      </c>
      <c r="I111" s="29" t="s">
        <v>25</v>
      </c>
      <c r="J111" s="27"/>
      <c r="K111" s="27"/>
      <c r="L111" s="27"/>
      <c r="M111" s="27"/>
      <c r="N111" s="37"/>
    </row>
    <row r="112" spans="2:14" ht="12.75" x14ac:dyDescent="0.35">
      <c r="B112" s="43" t="str">
        <f t="shared" si="0"/>
        <v>SRR28460443_MZ516105.1_submittername</v>
      </c>
      <c r="C112" s="44" t="str">
        <f t="shared" si="1"/>
        <v>SRR28460443_MZ516105.1_submittername.fa</v>
      </c>
      <c r="D112" s="45" t="s">
        <v>103</v>
      </c>
      <c r="E112" s="46" t="s">
        <v>104</v>
      </c>
      <c r="F112" s="46" t="s">
        <v>105</v>
      </c>
      <c r="G112" s="46" t="s">
        <v>23</v>
      </c>
      <c r="H112" s="46" t="s">
        <v>24</v>
      </c>
      <c r="I112" s="46" t="s">
        <v>25</v>
      </c>
      <c r="J112" s="44"/>
      <c r="K112" s="44"/>
      <c r="L112" s="44"/>
      <c r="M112" s="44"/>
      <c r="N112" s="47"/>
    </row>
    <row r="113" spans="2:14" ht="13.15" x14ac:dyDescent="0.4">
      <c r="B113" s="43" t="str">
        <f t="shared" si="0"/>
        <v>SRR6849656_KY654518.1_submittername</v>
      </c>
      <c r="C113" s="44" t="str">
        <f t="shared" si="1"/>
        <v>SRR6849656_KY654518.1_submittername.fa</v>
      </c>
      <c r="D113" s="45" t="s">
        <v>106</v>
      </c>
      <c r="E113" s="45" t="s">
        <v>101</v>
      </c>
      <c r="F113" s="46" t="s">
        <v>102</v>
      </c>
      <c r="G113" s="46" t="s">
        <v>23</v>
      </c>
      <c r="H113" s="46" t="s">
        <v>42</v>
      </c>
      <c r="I113" s="48" t="s">
        <v>43</v>
      </c>
      <c r="J113" s="44"/>
      <c r="K113" s="44"/>
      <c r="L113" s="44"/>
      <c r="M113" s="44"/>
      <c r="N113" s="47"/>
    </row>
    <row r="114" spans="2:14" ht="13.15" x14ac:dyDescent="0.4">
      <c r="B114" s="43" t="str">
        <f t="shared" si="0"/>
        <v>SRR6849700_KY654518.1_submittername</v>
      </c>
      <c r="C114" s="44" t="str">
        <f t="shared" si="1"/>
        <v>SRR6849700_KY654518.1_submittername.fa</v>
      </c>
      <c r="D114" s="45" t="s">
        <v>107</v>
      </c>
      <c r="E114" s="45" t="s">
        <v>101</v>
      </c>
      <c r="F114" s="46" t="s">
        <v>102</v>
      </c>
      <c r="G114" s="46" t="s">
        <v>23</v>
      </c>
      <c r="H114" s="46" t="s">
        <v>42</v>
      </c>
      <c r="I114" s="48" t="s">
        <v>43</v>
      </c>
      <c r="J114" s="44"/>
      <c r="K114" s="44"/>
      <c r="L114" s="44"/>
      <c r="M114" s="44"/>
      <c r="N114" s="47"/>
    </row>
    <row r="115" spans="2:14" ht="12.75" x14ac:dyDescent="0.35">
      <c r="B115" s="43" t="str">
        <f t="shared" si="0"/>
        <v>SRR29105551_KY654518.1_submittername</v>
      </c>
      <c r="C115" s="44" t="str">
        <f t="shared" si="1"/>
        <v>SRR29105551_KY654518.1_submittername.fa</v>
      </c>
      <c r="D115" s="45" t="s">
        <v>108</v>
      </c>
      <c r="E115" s="45" t="s">
        <v>101</v>
      </c>
      <c r="F115" s="46" t="s">
        <v>102</v>
      </c>
      <c r="G115" s="46" t="s">
        <v>41</v>
      </c>
      <c r="H115" s="46" t="s">
        <v>42</v>
      </c>
      <c r="I115" s="46" t="s">
        <v>48</v>
      </c>
      <c r="J115" s="44"/>
      <c r="K115" s="44"/>
      <c r="L115" s="44"/>
      <c r="M115" s="44"/>
      <c r="N115" s="47"/>
    </row>
    <row r="116" spans="2:14" ht="12.75" x14ac:dyDescent="0.35">
      <c r="B116" s="43" t="str">
        <f t="shared" si="0"/>
        <v>SRR29105531_KY654518.1_submittername</v>
      </c>
      <c r="C116" s="44" t="str">
        <f t="shared" si="1"/>
        <v>SRR29105531_KY654518.1_submittername.fa</v>
      </c>
      <c r="D116" s="45" t="s">
        <v>109</v>
      </c>
      <c r="E116" s="45" t="s">
        <v>101</v>
      </c>
      <c r="F116" s="46" t="s">
        <v>102</v>
      </c>
      <c r="G116" s="46" t="s">
        <v>41</v>
      </c>
      <c r="H116" s="46" t="s">
        <v>42</v>
      </c>
      <c r="I116" s="46" t="s">
        <v>48</v>
      </c>
      <c r="J116" s="44"/>
      <c r="K116" s="44"/>
      <c r="L116" s="44"/>
      <c r="M116" s="44"/>
      <c r="N116" s="47"/>
    </row>
    <row r="117" spans="2:14" ht="12.75" x14ac:dyDescent="0.35">
      <c r="B117" s="43" t="str">
        <f t="shared" si="0"/>
        <v>SRR10033266_MZ516105.1_submittername</v>
      </c>
      <c r="C117" s="44" t="str">
        <f t="shared" si="1"/>
        <v>SRR10033266_MZ516105.1_submittername.fa</v>
      </c>
      <c r="D117" s="45" t="s">
        <v>110</v>
      </c>
      <c r="E117" s="46" t="s">
        <v>104</v>
      </c>
      <c r="F117" s="46" t="s">
        <v>105</v>
      </c>
      <c r="G117" s="46" t="s">
        <v>23</v>
      </c>
      <c r="H117" s="46" t="s">
        <v>42</v>
      </c>
      <c r="I117" s="46" t="s">
        <v>69</v>
      </c>
      <c r="J117" s="44"/>
      <c r="K117" s="44"/>
      <c r="L117" s="44"/>
      <c r="M117" s="44"/>
      <c r="N117" s="47"/>
    </row>
    <row r="118" spans="2:14" ht="12.75" x14ac:dyDescent="0.35">
      <c r="B118" s="43" t="str">
        <f t="shared" si="0"/>
        <v>SRR10033406_MZ516105.1_submittername</v>
      </c>
      <c r="C118" s="44" t="str">
        <f t="shared" si="1"/>
        <v>SRR10033406_MZ516105.1_submittername.fa</v>
      </c>
      <c r="D118" s="45" t="s">
        <v>111</v>
      </c>
      <c r="E118" s="46" t="s">
        <v>104</v>
      </c>
      <c r="F118" s="46" t="s">
        <v>105</v>
      </c>
      <c r="G118" s="46" t="s">
        <v>23</v>
      </c>
      <c r="H118" s="46" t="s">
        <v>42</v>
      </c>
      <c r="I118" s="46" t="s">
        <v>69</v>
      </c>
      <c r="J118" s="44"/>
      <c r="K118" s="44"/>
      <c r="L118" s="44"/>
      <c r="M118" s="44"/>
      <c r="N118" s="47"/>
    </row>
    <row r="119" spans="2:14" ht="12.75" x14ac:dyDescent="0.35">
      <c r="B119" s="43" t="str">
        <f t="shared" si="0"/>
        <v>SRR29541224_MZ516105.1_submittername</v>
      </c>
      <c r="C119" s="44" t="str">
        <f t="shared" si="1"/>
        <v>SRR29541224_MZ516105.1_submittername.fa</v>
      </c>
      <c r="D119" s="45" t="s">
        <v>112</v>
      </c>
      <c r="E119" s="46" t="s">
        <v>104</v>
      </c>
      <c r="F119" s="46" t="s">
        <v>105</v>
      </c>
      <c r="G119" s="46" t="s">
        <v>41</v>
      </c>
      <c r="H119" s="46" t="s">
        <v>42</v>
      </c>
      <c r="I119" s="46" t="s">
        <v>48</v>
      </c>
      <c r="J119" s="44"/>
      <c r="K119" s="44"/>
      <c r="L119" s="44"/>
      <c r="M119" s="44"/>
      <c r="N119" s="47"/>
    </row>
    <row r="120" spans="2:14" ht="12.75" x14ac:dyDescent="0.35">
      <c r="B120" s="43" t="str">
        <f t="shared" si="0"/>
        <v>SRR29541232_MZ516105.1_submittername</v>
      </c>
      <c r="C120" s="44" t="str">
        <f t="shared" si="1"/>
        <v>SRR29541232_MZ516105.1_submittername.fa</v>
      </c>
      <c r="D120" s="45" t="s">
        <v>113</v>
      </c>
      <c r="E120" s="46" t="s">
        <v>104</v>
      </c>
      <c r="F120" s="46" t="s">
        <v>105</v>
      </c>
      <c r="G120" s="46" t="s">
        <v>41</v>
      </c>
      <c r="H120" s="46" t="s">
        <v>42</v>
      </c>
      <c r="I120" s="46" t="s">
        <v>48</v>
      </c>
      <c r="J120" s="44"/>
      <c r="K120" s="44"/>
      <c r="L120" s="44"/>
      <c r="M120" s="44"/>
      <c r="N120" s="47"/>
    </row>
    <row r="121" spans="2:14" ht="12.75" x14ac:dyDescent="0.35">
      <c r="B121" s="43" t="str">
        <f t="shared" si="0"/>
        <v>SRR27723526_NC_045512.2_submittername</v>
      </c>
      <c r="C121" s="44" t="str">
        <f t="shared" si="1"/>
        <v>SRR27723526_NC_045512.2_submittername.fa</v>
      </c>
      <c r="D121" s="49" t="s">
        <v>114</v>
      </c>
      <c r="E121" s="46" t="s">
        <v>115</v>
      </c>
      <c r="F121" s="46" t="s">
        <v>116</v>
      </c>
      <c r="G121" s="46" t="s">
        <v>23</v>
      </c>
      <c r="H121" s="46" t="s">
        <v>42</v>
      </c>
      <c r="I121" s="46" t="s">
        <v>69</v>
      </c>
      <c r="J121" s="44"/>
      <c r="K121" s="44"/>
      <c r="L121" s="44"/>
      <c r="M121" s="44"/>
      <c r="N121" s="47"/>
    </row>
    <row r="122" spans="2:14" ht="12.75" x14ac:dyDescent="0.35">
      <c r="B122" s="43" t="str">
        <f t="shared" si="0"/>
        <v>SRR27723604_NC_045512.2_submittername</v>
      </c>
      <c r="C122" s="44" t="str">
        <f t="shared" si="1"/>
        <v>SRR27723604_NC_045512.2_submittername.fa</v>
      </c>
      <c r="D122" s="49" t="s">
        <v>117</v>
      </c>
      <c r="E122" s="46" t="s">
        <v>115</v>
      </c>
      <c r="F122" s="46" t="s">
        <v>116</v>
      </c>
      <c r="G122" s="46" t="s">
        <v>23</v>
      </c>
      <c r="H122" s="46" t="s">
        <v>42</v>
      </c>
      <c r="I122" s="46" t="s">
        <v>69</v>
      </c>
      <c r="J122" s="44"/>
      <c r="K122" s="44"/>
      <c r="L122" s="44"/>
      <c r="M122" s="44"/>
      <c r="N122" s="47"/>
    </row>
    <row r="123" spans="2:14" ht="12.75" x14ac:dyDescent="0.35">
      <c r="B123" s="43" t="str">
        <f t="shared" si="0"/>
        <v>SRR27723548_NC_045512.2_submittername</v>
      </c>
      <c r="C123" s="44" t="str">
        <f t="shared" si="1"/>
        <v>SRR27723548_NC_045512.2_submittername.fa</v>
      </c>
      <c r="D123" s="49" t="s">
        <v>118</v>
      </c>
      <c r="E123" s="46" t="s">
        <v>115</v>
      </c>
      <c r="F123" s="46" t="s">
        <v>116</v>
      </c>
      <c r="G123" s="46" t="s">
        <v>23</v>
      </c>
      <c r="H123" s="46" t="s">
        <v>42</v>
      </c>
      <c r="I123" s="46" t="s">
        <v>69</v>
      </c>
      <c r="J123" s="44"/>
      <c r="K123" s="44"/>
      <c r="L123" s="44"/>
      <c r="M123" s="44"/>
      <c r="N123" s="47"/>
    </row>
    <row r="124" spans="2:14" ht="12.75" x14ac:dyDescent="0.35">
      <c r="B124" s="43" t="str">
        <f t="shared" si="0"/>
        <v>SRR21643272_NC_045512.2_submittername</v>
      </c>
      <c r="C124" s="44" t="str">
        <f t="shared" si="1"/>
        <v>SRR21643272_NC_045512.2_submittername.fa</v>
      </c>
      <c r="D124" s="49" t="s">
        <v>119</v>
      </c>
      <c r="E124" s="46" t="s">
        <v>115</v>
      </c>
      <c r="F124" s="46" t="s">
        <v>116</v>
      </c>
      <c r="G124" s="46" t="s">
        <v>23</v>
      </c>
      <c r="H124" s="46" t="s">
        <v>24</v>
      </c>
      <c r="I124" s="46" t="s">
        <v>69</v>
      </c>
      <c r="J124" s="44"/>
      <c r="K124" s="44"/>
      <c r="L124" s="44"/>
      <c r="M124" s="44"/>
      <c r="N124" s="47"/>
    </row>
    <row r="125" spans="2:14" ht="12.75" x14ac:dyDescent="0.35">
      <c r="B125" s="43" t="str">
        <f t="shared" si="0"/>
        <v>SRR21643274_NC_045512.2_submittername</v>
      </c>
      <c r="C125" s="44" t="str">
        <f t="shared" si="1"/>
        <v>SRR21643274_NC_045512.2_submittername.fa</v>
      </c>
      <c r="D125" s="49" t="s">
        <v>120</v>
      </c>
      <c r="E125" s="46" t="s">
        <v>115</v>
      </c>
      <c r="F125" s="46" t="s">
        <v>116</v>
      </c>
      <c r="G125" s="46" t="s">
        <v>23</v>
      </c>
      <c r="H125" s="46" t="s">
        <v>24</v>
      </c>
      <c r="I125" s="46" t="s">
        <v>69</v>
      </c>
      <c r="J125" s="44"/>
      <c r="K125" s="44"/>
      <c r="L125" s="44"/>
      <c r="M125" s="44"/>
      <c r="N125" s="47"/>
    </row>
    <row r="126" spans="2:14" ht="13.15" x14ac:dyDescent="0.4">
      <c r="B126" s="43" t="str">
        <f t="shared" si="0"/>
        <v>SRR25780269_NC_045512.2_submittername</v>
      </c>
      <c r="C126" s="44" t="str">
        <f t="shared" si="1"/>
        <v>SRR25780269_NC_045512.2_submittername.fa</v>
      </c>
      <c r="D126" s="45" t="s">
        <v>121</v>
      </c>
      <c r="E126" s="46" t="s">
        <v>115</v>
      </c>
      <c r="F126" s="46" t="s">
        <v>116</v>
      </c>
      <c r="G126" s="46" t="s">
        <v>122</v>
      </c>
      <c r="H126" s="48" t="s">
        <v>123</v>
      </c>
      <c r="I126" s="48" t="s">
        <v>124</v>
      </c>
      <c r="J126" s="44"/>
      <c r="K126" s="44"/>
      <c r="L126" s="44"/>
      <c r="M126" s="44"/>
      <c r="N126" s="47"/>
    </row>
    <row r="127" spans="2:14" ht="13.15" x14ac:dyDescent="0.4">
      <c r="B127" s="43" t="str">
        <f t="shared" si="0"/>
        <v>SRR21357948_NC_045512.2_submittername</v>
      </c>
      <c r="C127" s="44" t="str">
        <f t="shared" si="1"/>
        <v>SRR21357948_NC_045512.2_submittername.fa</v>
      </c>
      <c r="D127" s="45" t="s">
        <v>125</v>
      </c>
      <c r="E127" s="46" t="s">
        <v>115</v>
      </c>
      <c r="F127" s="46" t="s">
        <v>116</v>
      </c>
      <c r="G127" s="46" t="s">
        <v>122</v>
      </c>
      <c r="H127" s="48" t="s">
        <v>123</v>
      </c>
      <c r="I127" s="48" t="s">
        <v>124</v>
      </c>
      <c r="J127" s="44"/>
      <c r="K127" s="44"/>
      <c r="L127" s="44"/>
      <c r="M127" s="44"/>
      <c r="N127" s="47"/>
    </row>
    <row r="128" spans="2:14" ht="12.75" x14ac:dyDescent="0.35">
      <c r="B128" s="43" t="str">
        <f t="shared" si="0"/>
        <v>SRR24146478_NC_045512.2_submittername</v>
      </c>
      <c r="C128" s="44" t="str">
        <f t="shared" si="1"/>
        <v>SRR24146478_NC_045512.2_submittername.fa</v>
      </c>
      <c r="D128" s="49" t="s">
        <v>126</v>
      </c>
      <c r="E128" s="46" t="s">
        <v>115</v>
      </c>
      <c r="F128" s="46" t="s">
        <v>116</v>
      </c>
      <c r="G128" s="46" t="s">
        <v>41</v>
      </c>
      <c r="H128" s="46" t="s">
        <v>42</v>
      </c>
      <c r="I128" s="46" t="s">
        <v>69</v>
      </c>
      <c r="J128" s="44"/>
      <c r="K128" s="44"/>
      <c r="L128" s="44"/>
      <c r="M128" s="44"/>
      <c r="N128" s="47"/>
    </row>
    <row r="129" spans="2:14" ht="12.75" x14ac:dyDescent="0.35">
      <c r="B129" s="43" t="str">
        <f t="shared" si="0"/>
        <v>SRR24146463_NC_045512.2_submittername</v>
      </c>
      <c r="C129" s="44" t="str">
        <f t="shared" si="1"/>
        <v>SRR24146463_NC_045512.2_submittername.fa</v>
      </c>
      <c r="D129" s="49" t="s">
        <v>127</v>
      </c>
      <c r="E129" s="46" t="s">
        <v>115</v>
      </c>
      <c r="F129" s="46" t="s">
        <v>116</v>
      </c>
      <c r="G129" s="46" t="s">
        <v>41</v>
      </c>
      <c r="H129" s="46" t="s">
        <v>42</v>
      </c>
      <c r="I129" s="46" t="s">
        <v>69</v>
      </c>
      <c r="J129" s="44"/>
      <c r="K129" s="44"/>
      <c r="L129" s="44"/>
      <c r="M129" s="44"/>
      <c r="N129" s="47"/>
    </row>
    <row r="130" spans="2:14" ht="12.75" x14ac:dyDescent="0.35">
      <c r="B130" s="5" t="str">
        <f t="shared" si="0"/>
        <v>SRR27033643_NC_045512.2_submittername</v>
      </c>
      <c r="C130" s="50" t="str">
        <f t="shared" si="1"/>
        <v>SRR27033643_NC_045512.2_submittername.fa</v>
      </c>
      <c r="D130" s="51" t="s">
        <v>128</v>
      </c>
      <c r="E130" s="52" t="s">
        <v>115</v>
      </c>
      <c r="F130" s="52" t="s">
        <v>116</v>
      </c>
      <c r="G130" s="52" t="s">
        <v>41</v>
      </c>
      <c r="H130" s="52" t="s">
        <v>42</v>
      </c>
      <c r="I130" s="52" t="s">
        <v>129</v>
      </c>
      <c r="J130" s="50"/>
      <c r="K130" s="50"/>
      <c r="L130" s="50"/>
      <c r="M130" s="50"/>
      <c r="N130" s="53"/>
    </row>
  </sheetData>
  <mergeCells count="3">
    <mergeCell ref="B1:I1"/>
    <mergeCell ref="D2:E2"/>
    <mergeCell ref="D3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6269-6750-4017-965B-FE75828EBD8E}">
  <sheetPr codeName="Sheet3"/>
  <dimension ref="A1:AN25"/>
  <sheetViews>
    <sheetView topLeftCell="A2" workbookViewId="0">
      <selection activeCell="B9" sqref="B9"/>
    </sheetView>
  </sheetViews>
  <sheetFormatPr defaultColWidth="8.86328125" defaultRowHeight="13.5" x14ac:dyDescent="0.35"/>
  <cols>
    <col min="1" max="1" width="31.3984375" style="90" customWidth="1"/>
    <col min="2" max="2" width="23.86328125" style="90" customWidth="1"/>
    <col min="3" max="3" width="54.59765625" style="90" customWidth="1"/>
    <col min="4" max="4" width="50.1328125" style="90" customWidth="1"/>
    <col min="5" max="5" width="17" style="90" customWidth="1"/>
    <col min="6" max="6" width="26" style="90" customWidth="1"/>
    <col min="7" max="7" width="35.86328125" style="90" customWidth="1"/>
    <col min="8" max="8" width="23.3984375" style="90" customWidth="1"/>
    <col min="9" max="9" width="29.3984375" style="90" customWidth="1"/>
    <col min="10" max="11" width="23.3984375" style="90" customWidth="1"/>
    <col min="12" max="12" width="21" style="90" customWidth="1"/>
    <col min="13" max="13" width="25" style="90" customWidth="1"/>
    <col min="14" max="14" width="25.3984375" style="90" customWidth="1"/>
    <col min="15" max="16" width="26" style="90" customWidth="1"/>
    <col min="17" max="18" width="29.73046875" style="90" customWidth="1"/>
    <col min="19" max="26" width="26" style="90" customWidth="1"/>
    <col min="27" max="27" width="28.3984375" style="90" customWidth="1"/>
    <col min="28" max="28" width="26.3984375" style="90" customWidth="1"/>
    <col min="29" max="30" width="28.3984375" style="90" customWidth="1"/>
    <col min="31" max="32" width="38" style="90" customWidth="1"/>
    <col min="33" max="33" width="31.265625" style="90" customWidth="1"/>
    <col min="34" max="34" width="28" style="90" customWidth="1"/>
    <col min="35" max="35" width="26.86328125" style="90" customWidth="1"/>
    <col min="36" max="37" width="27.86328125" style="90" customWidth="1"/>
    <col min="38" max="38" width="22.3984375" style="90" customWidth="1"/>
    <col min="39" max="39" width="27.265625" style="90" customWidth="1"/>
    <col min="40" max="40" width="17.3984375" style="90" customWidth="1"/>
    <col min="41" max="41" width="19.3984375" style="90" customWidth="1"/>
    <col min="42" max="42" width="14.3984375" style="90" customWidth="1"/>
    <col min="43" max="16384" width="8.86328125" style="90"/>
  </cols>
  <sheetData>
    <row r="1" spans="1:40" ht="13.9" x14ac:dyDescent="0.4">
      <c r="A1" s="134" t="s">
        <v>272</v>
      </c>
      <c r="B1" s="134"/>
      <c r="C1" s="134"/>
      <c r="D1" s="135"/>
      <c r="E1" s="131" t="s">
        <v>271</v>
      </c>
      <c r="F1" s="132"/>
      <c r="G1" s="132"/>
      <c r="H1" s="132"/>
      <c r="I1" s="132"/>
      <c r="J1" s="132"/>
      <c r="K1" s="133"/>
      <c r="L1" s="131" t="s">
        <v>270</v>
      </c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3"/>
      <c r="AA1" s="131" t="s">
        <v>269</v>
      </c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3"/>
    </row>
    <row r="2" spans="1:40" s="103" customFormat="1" ht="81" customHeight="1" x14ac:dyDescent="0.4">
      <c r="A2" s="108" t="s">
        <v>268</v>
      </c>
      <c r="B2" s="108" t="s">
        <v>267</v>
      </c>
      <c r="C2" s="108" t="s">
        <v>266</v>
      </c>
      <c r="D2" s="108" t="s">
        <v>265</v>
      </c>
      <c r="E2" s="107" t="s">
        <v>264</v>
      </c>
      <c r="F2" s="107" t="s">
        <v>263</v>
      </c>
      <c r="G2" s="107" t="s">
        <v>262</v>
      </c>
      <c r="H2" s="107" t="s">
        <v>261</v>
      </c>
      <c r="I2" s="107" t="s">
        <v>260</v>
      </c>
      <c r="J2" s="107" t="s">
        <v>259</v>
      </c>
      <c r="K2" s="107" t="s">
        <v>258</v>
      </c>
      <c r="L2" s="106" t="s">
        <v>257</v>
      </c>
      <c r="M2" s="106" t="s">
        <v>256</v>
      </c>
      <c r="N2" s="106" t="s">
        <v>255</v>
      </c>
      <c r="O2" s="106" t="s">
        <v>254</v>
      </c>
      <c r="P2" s="106" t="s">
        <v>253</v>
      </c>
      <c r="Q2" s="106" t="s">
        <v>252</v>
      </c>
      <c r="R2" s="106" t="s">
        <v>251</v>
      </c>
      <c r="S2" s="106" t="s">
        <v>250</v>
      </c>
      <c r="T2" s="106" t="s">
        <v>249</v>
      </c>
      <c r="U2" s="106" t="s">
        <v>248</v>
      </c>
      <c r="V2" s="106" t="s">
        <v>247</v>
      </c>
      <c r="W2" s="106" t="s">
        <v>246</v>
      </c>
      <c r="X2" s="106" t="s">
        <v>245</v>
      </c>
      <c r="Y2" s="106" t="s">
        <v>244</v>
      </c>
      <c r="Z2" s="106" t="s">
        <v>243</v>
      </c>
      <c r="AA2" s="105" t="s">
        <v>242</v>
      </c>
      <c r="AB2" s="105" t="s">
        <v>241</v>
      </c>
      <c r="AC2" s="105" t="s">
        <v>240</v>
      </c>
      <c r="AD2" s="105" t="s">
        <v>239</v>
      </c>
      <c r="AE2" s="105" t="s">
        <v>238</v>
      </c>
      <c r="AF2" s="105" t="s">
        <v>237</v>
      </c>
      <c r="AG2" s="105" t="s">
        <v>236</v>
      </c>
      <c r="AH2" s="105" t="s">
        <v>235</v>
      </c>
      <c r="AI2" s="105" t="s">
        <v>234</v>
      </c>
      <c r="AJ2" s="105" t="s">
        <v>233</v>
      </c>
      <c r="AK2" s="105" t="s">
        <v>232</v>
      </c>
      <c r="AL2" s="105" t="s">
        <v>231</v>
      </c>
      <c r="AM2" s="105" t="s">
        <v>230</v>
      </c>
      <c r="AN2" s="104" t="s">
        <v>229</v>
      </c>
    </row>
    <row r="3" spans="1:40" x14ac:dyDescent="0.35">
      <c r="A3" s="90" t="s">
        <v>228</v>
      </c>
      <c r="B3" s="101" t="s">
        <v>130</v>
      </c>
      <c r="C3" s="101" t="s">
        <v>227</v>
      </c>
      <c r="D3" s="101" t="s">
        <v>226</v>
      </c>
      <c r="E3" s="98"/>
      <c r="G3" s="98"/>
      <c r="H3" s="98"/>
      <c r="I3" s="98"/>
      <c r="J3" s="98"/>
      <c r="K3" s="98"/>
      <c r="L3" s="98"/>
      <c r="AN3" s="91"/>
    </row>
    <row r="4" spans="1:40" x14ac:dyDescent="0.35">
      <c r="A4" s="90" t="s">
        <v>225</v>
      </c>
      <c r="B4" s="101" t="s">
        <v>131</v>
      </c>
      <c r="C4" s="101" t="s">
        <v>224</v>
      </c>
      <c r="D4" s="101" t="s">
        <v>223</v>
      </c>
      <c r="E4" s="98"/>
      <c r="G4" s="98"/>
      <c r="H4" s="98"/>
      <c r="I4" s="98"/>
      <c r="J4" s="98"/>
      <c r="K4" s="98"/>
      <c r="L4" s="98"/>
      <c r="AN4" s="91"/>
    </row>
    <row r="5" spans="1:40" x14ac:dyDescent="0.35">
      <c r="A5" s="90" t="s">
        <v>222</v>
      </c>
      <c r="B5" s="101" t="s">
        <v>132</v>
      </c>
      <c r="C5" s="101" t="s">
        <v>221</v>
      </c>
      <c r="D5" s="101" t="s">
        <v>220</v>
      </c>
      <c r="E5" s="98"/>
      <c r="G5" s="98"/>
      <c r="H5" s="98"/>
      <c r="I5" s="98"/>
      <c r="J5" s="98"/>
      <c r="K5" s="98"/>
      <c r="L5" s="98"/>
      <c r="AN5" s="91"/>
    </row>
    <row r="6" spans="1:40" x14ac:dyDescent="0.35">
      <c r="A6" s="90" t="s">
        <v>219</v>
      </c>
      <c r="B6" s="101" t="s">
        <v>133</v>
      </c>
      <c r="C6" s="101" t="s">
        <v>218</v>
      </c>
      <c r="D6" s="101" t="s">
        <v>217</v>
      </c>
      <c r="E6" s="98"/>
      <c r="G6" s="98"/>
      <c r="H6" s="98"/>
      <c r="I6" s="98"/>
      <c r="J6" s="98"/>
      <c r="K6" s="98"/>
      <c r="L6" s="98"/>
      <c r="AN6" s="91"/>
    </row>
    <row r="7" spans="1:40" x14ac:dyDescent="0.35">
      <c r="A7" s="90" t="s">
        <v>216</v>
      </c>
      <c r="B7" s="101" t="s">
        <v>134</v>
      </c>
      <c r="C7" s="101" t="s">
        <v>215</v>
      </c>
      <c r="D7" s="101" t="s">
        <v>214</v>
      </c>
      <c r="E7" s="98"/>
      <c r="G7" s="98"/>
      <c r="H7" s="98"/>
      <c r="I7" s="98"/>
      <c r="J7" s="98"/>
      <c r="K7" s="98"/>
      <c r="L7" s="98"/>
      <c r="AN7" s="91"/>
    </row>
    <row r="8" spans="1:40" x14ac:dyDescent="0.35">
      <c r="A8" s="90" t="s">
        <v>213</v>
      </c>
      <c r="B8" s="101" t="s">
        <v>135</v>
      </c>
      <c r="C8" s="101" t="s">
        <v>212</v>
      </c>
      <c r="D8" s="101" t="s">
        <v>211</v>
      </c>
      <c r="E8" s="98"/>
      <c r="G8" s="98"/>
      <c r="H8" s="98"/>
      <c r="I8" s="98"/>
      <c r="J8" s="98"/>
      <c r="K8" s="98"/>
      <c r="L8" s="98"/>
      <c r="AN8" s="91"/>
    </row>
    <row r="9" spans="1:40" ht="27" x14ac:dyDescent="0.35">
      <c r="A9" s="90" t="s">
        <v>210</v>
      </c>
      <c r="B9" s="98" t="s">
        <v>136</v>
      </c>
      <c r="C9" s="100" t="s">
        <v>209</v>
      </c>
      <c r="D9" s="102" t="s">
        <v>208</v>
      </c>
      <c r="E9" s="98"/>
      <c r="G9" s="98"/>
      <c r="H9" s="98"/>
      <c r="I9" s="98"/>
      <c r="J9" s="98"/>
      <c r="K9" s="98"/>
      <c r="L9" s="98"/>
      <c r="AN9" s="91"/>
    </row>
    <row r="10" spans="1:40" ht="27" x14ac:dyDescent="0.35">
      <c r="A10" s="90" t="s">
        <v>207</v>
      </c>
      <c r="B10" s="98" t="s">
        <v>137</v>
      </c>
      <c r="C10" s="100" t="s">
        <v>206</v>
      </c>
      <c r="D10" s="102" t="s">
        <v>205</v>
      </c>
      <c r="E10" s="98"/>
      <c r="G10" s="98"/>
      <c r="H10" s="98"/>
      <c r="I10" s="98"/>
      <c r="J10" s="98"/>
      <c r="K10" s="98"/>
      <c r="L10" s="98"/>
      <c r="AN10" s="91"/>
    </row>
    <row r="11" spans="1:40" ht="27" x14ac:dyDescent="0.35">
      <c r="A11" s="90" t="s">
        <v>204</v>
      </c>
      <c r="B11" s="98" t="s">
        <v>138</v>
      </c>
      <c r="C11" s="100" t="s">
        <v>203</v>
      </c>
      <c r="D11" s="102" t="s">
        <v>202</v>
      </c>
      <c r="E11" s="98"/>
      <c r="G11" s="98"/>
      <c r="H11" s="98"/>
      <c r="I11" s="98"/>
      <c r="J11" s="98"/>
      <c r="K11" s="98"/>
      <c r="L11" s="98"/>
      <c r="AN11" s="91"/>
    </row>
    <row r="12" spans="1:40" ht="27" x14ac:dyDescent="0.35">
      <c r="A12" s="90" t="s">
        <v>201</v>
      </c>
      <c r="B12" s="98" t="s">
        <v>139</v>
      </c>
      <c r="C12" s="102" t="s">
        <v>200</v>
      </c>
      <c r="D12" s="102" t="s">
        <v>199</v>
      </c>
      <c r="E12" s="98"/>
      <c r="G12" s="98"/>
      <c r="H12" s="98"/>
      <c r="I12" s="98"/>
      <c r="J12" s="98"/>
      <c r="K12" s="98"/>
      <c r="L12" s="98"/>
      <c r="AN12" s="91"/>
    </row>
    <row r="13" spans="1:40" ht="27" x14ac:dyDescent="0.35">
      <c r="A13" s="90" t="s">
        <v>198</v>
      </c>
      <c r="B13" s="101" t="s">
        <v>140</v>
      </c>
      <c r="C13" s="99" t="s">
        <v>197</v>
      </c>
      <c r="D13" s="99" t="s">
        <v>196</v>
      </c>
      <c r="E13" s="98"/>
      <c r="G13" s="98"/>
      <c r="H13" s="98"/>
      <c r="I13" s="98"/>
      <c r="J13" s="98"/>
      <c r="K13" s="98"/>
      <c r="L13" s="98"/>
      <c r="AN13" s="91"/>
    </row>
    <row r="14" spans="1:40" ht="27" x14ac:dyDescent="0.35">
      <c r="A14" s="90" t="s">
        <v>195</v>
      </c>
      <c r="B14" s="101" t="s">
        <v>141</v>
      </c>
      <c r="C14" s="99" t="s">
        <v>194</v>
      </c>
      <c r="D14" s="99" t="s">
        <v>193</v>
      </c>
      <c r="E14" s="98"/>
      <c r="G14" s="98"/>
      <c r="H14" s="98"/>
      <c r="I14" s="98"/>
      <c r="J14" s="98"/>
      <c r="K14" s="98"/>
      <c r="L14" s="98"/>
      <c r="AN14" s="91"/>
    </row>
    <row r="15" spans="1:40" ht="27" x14ac:dyDescent="0.35">
      <c r="A15" s="90" t="s">
        <v>192</v>
      </c>
      <c r="B15" s="101" t="s">
        <v>142</v>
      </c>
      <c r="C15" s="100" t="s">
        <v>191</v>
      </c>
      <c r="D15" s="99" t="s">
        <v>190</v>
      </c>
      <c r="E15" s="98"/>
      <c r="G15" s="98"/>
      <c r="H15" s="98"/>
      <c r="I15" s="98"/>
      <c r="J15" s="98"/>
      <c r="K15" s="98"/>
      <c r="L15" s="98"/>
      <c r="AN15" s="91"/>
    </row>
    <row r="16" spans="1:40" ht="27" x14ac:dyDescent="0.35">
      <c r="A16" s="90" t="s">
        <v>189</v>
      </c>
      <c r="B16" s="101" t="s">
        <v>143</v>
      </c>
      <c r="C16" s="100" t="s">
        <v>188</v>
      </c>
      <c r="D16" s="99" t="s">
        <v>187</v>
      </c>
      <c r="E16" s="98"/>
      <c r="G16" s="98"/>
      <c r="H16" s="98"/>
      <c r="I16" s="98"/>
      <c r="J16" s="98"/>
      <c r="K16" s="98"/>
      <c r="L16" s="98"/>
      <c r="AN16" s="91"/>
    </row>
    <row r="17" spans="1:40" ht="27" x14ac:dyDescent="0.35">
      <c r="A17" s="90" t="s">
        <v>186</v>
      </c>
      <c r="B17" s="101" t="s">
        <v>144</v>
      </c>
      <c r="C17" s="100" t="s">
        <v>185</v>
      </c>
      <c r="D17" s="99" t="s">
        <v>184</v>
      </c>
      <c r="E17" s="98"/>
      <c r="G17" s="98"/>
      <c r="H17" s="98"/>
      <c r="I17" s="98"/>
      <c r="J17" s="98"/>
      <c r="K17" s="98"/>
      <c r="L17" s="98"/>
      <c r="AN17" s="91"/>
    </row>
    <row r="18" spans="1:40" ht="27" x14ac:dyDescent="0.35">
      <c r="A18" s="92" t="s">
        <v>183</v>
      </c>
      <c r="B18" s="93" t="s">
        <v>182</v>
      </c>
      <c r="C18" s="93" t="s">
        <v>181</v>
      </c>
      <c r="D18" s="97" t="s">
        <v>180</v>
      </c>
      <c r="E18" s="97"/>
      <c r="F18" s="92"/>
      <c r="G18" s="97"/>
      <c r="H18" s="97"/>
      <c r="I18" s="97"/>
      <c r="J18" s="97"/>
      <c r="K18" s="97"/>
      <c r="L18" s="97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  <c r="AD18" s="92"/>
      <c r="AE18" s="92"/>
      <c r="AF18" s="92"/>
      <c r="AG18" s="92"/>
      <c r="AH18" s="92"/>
      <c r="AI18" s="92"/>
      <c r="AJ18" s="92"/>
      <c r="AK18" s="92"/>
      <c r="AL18" s="92"/>
      <c r="AM18" s="92"/>
      <c r="AN18" s="91"/>
    </row>
    <row r="19" spans="1:40" ht="27" x14ac:dyDescent="0.35">
      <c r="A19" s="94" t="s">
        <v>179</v>
      </c>
      <c r="B19" s="95" t="s">
        <v>178</v>
      </c>
      <c r="C19" s="95" t="s">
        <v>177</v>
      </c>
      <c r="D19" s="96" t="s">
        <v>176</v>
      </c>
      <c r="E19" s="96"/>
      <c r="F19" s="94"/>
      <c r="G19" s="96"/>
      <c r="H19" s="96"/>
      <c r="I19" s="96"/>
      <c r="J19" s="96"/>
      <c r="K19" s="96"/>
      <c r="L19" s="96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4"/>
      <c r="AJ19" s="94"/>
      <c r="AK19" s="94"/>
      <c r="AL19" s="94"/>
      <c r="AM19" s="94"/>
      <c r="AN19" s="91"/>
    </row>
    <row r="20" spans="1:40" ht="27" x14ac:dyDescent="0.35">
      <c r="A20" s="94" t="s">
        <v>175</v>
      </c>
      <c r="B20" s="95" t="s">
        <v>174</v>
      </c>
      <c r="C20" s="95" t="s">
        <v>173</v>
      </c>
      <c r="D20" s="96" t="s">
        <v>172</v>
      </c>
      <c r="E20" s="96"/>
      <c r="F20" s="94"/>
      <c r="G20" s="96"/>
      <c r="H20" s="96"/>
      <c r="I20" s="96"/>
      <c r="J20" s="96"/>
      <c r="K20" s="96"/>
      <c r="L20" s="96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1"/>
    </row>
    <row r="21" spans="1:40" ht="27" x14ac:dyDescent="0.35">
      <c r="A21" s="94" t="s">
        <v>171</v>
      </c>
      <c r="B21" s="95" t="s">
        <v>170</v>
      </c>
      <c r="C21" s="95" t="s">
        <v>169</v>
      </c>
      <c r="D21" s="95" t="s">
        <v>168</v>
      </c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1"/>
    </row>
    <row r="22" spans="1:40" ht="27" x14ac:dyDescent="0.35">
      <c r="A22" s="92" t="s">
        <v>167</v>
      </c>
      <c r="B22" s="93" t="s">
        <v>166</v>
      </c>
      <c r="C22" s="93" t="s">
        <v>165</v>
      </c>
      <c r="D22" s="93" t="s">
        <v>164</v>
      </c>
      <c r="E22" s="92"/>
      <c r="F22" s="92"/>
      <c r="G22" s="92"/>
      <c r="H22" s="92"/>
      <c r="I22" s="92"/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1"/>
    </row>
    <row r="23" spans="1:40" ht="27" x14ac:dyDescent="0.35">
      <c r="A23" s="92" t="s">
        <v>163</v>
      </c>
      <c r="B23" s="93" t="s">
        <v>162</v>
      </c>
      <c r="C23" s="93" t="s">
        <v>161</v>
      </c>
      <c r="D23" s="93" t="s">
        <v>160</v>
      </c>
      <c r="E23" s="92"/>
      <c r="F23" s="92"/>
      <c r="G23" s="92"/>
      <c r="H23" s="92"/>
      <c r="I23" s="92"/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1"/>
    </row>
    <row r="25" spans="1:40" x14ac:dyDescent="0.35">
      <c r="A25" s="90" t="s">
        <v>159</v>
      </c>
    </row>
  </sheetData>
  <mergeCells count="4">
    <mergeCell ref="E1:K1"/>
    <mergeCell ref="L1:Z1"/>
    <mergeCell ref="AA1:AM1"/>
    <mergeCell ref="A1:D1"/>
  </mergeCells>
  <dataValidations count="2">
    <dataValidation type="list" allowBlank="1" showInputMessage="1" showErrorMessage="1" sqref="AL3:AL23" xr:uid="{FC24A479-30E9-48B8-ACC7-8D7D150C45C8}">
      <formula1>"Yes, No, Not Applicable "</formula1>
    </dataValidation>
    <dataValidation type="list" allowBlank="1" showInputMessage="1" showErrorMessage="1" sqref="AJ3:AJ23" xr:uid="{71BF87D8-6DD0-4F24-AFA7-95FD6B9C1C7C}">
      <formula1>"Yes, No, Not Applicable"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55B04-B025-49CB-B52E-ABC0A6E77B6B}">
  <sheetPr codeName="Sheet4"/>
  <dimension ref="A1:D14"/>
  <sheetViews>
    <sheetView workbookViewId="0">
      <selection activeCell="C22" sqref="C22"/>
    </sheetView>
  </sheetViews>
  <sheetFormatPr defaultColWidth="8.86328125" defaultRowHeight="13.5" x14ac:dyDescent="0.35"/>
  <cols>
    <col min="1" max="1" width="37.86328125" style="90" customWidth="1"/>
    <col min="2" max="2" width="24" style="90" customWidth="1"/>
    <col min="3" max="3" width="25.3984375" style="90" customWidth="1"/>
    <col min="4" max="4" width="32.86328125" style="90" customWidth="1"/>
    <col min="5" max="16384" width="8.86328125" style="90"/>
  </cols>
  <sheetData>
    <row r="1" spans="1:4" ht="27" x14ac:dyDescent="0.35">
      <c r="A1" s="90" t="s">
        <v>302</v>
      </c>
      <c r="B1" s="109" t="s">
        <v>301</v>
      </c>
      <c r="C1" s="109" t="s">
        <v>241</v>
      </c>
      <c r="D1" s="90" t="s">
        <v>300</v>
      </c>
    </row>
    <row r="2" spans="1:4" x14ac:dyDescent="0.35">
      <c r="A2" s="109" t="s">
        <v>299</v>
      </c>
      <c r="C2" s="90" t="s">
        <v>298</v>
      </c>
      <c r="D2" s="90" t="s">
        <v>297</v>
      </c>
    </row>
    <row r="3" spans="1:4" x14ac:dyDescent="0.35">
      <c r="A3" s="90" t="s">
        <v>296</v>
      </c>
      <c r="C3" s="90" t="s">
        <v>295</v>
      </c>
      <c r="D3" s="90" t="s">
        <v>294</v>
      </c>
    </row>
    <row r="4" spans="1:4" x14ac:dyDescent="0.35">
      <c r="A4" s="90" t="s">
        <v>293</v>
      </c>
      <c r="C4" s="90" t="s">
        <v>292</v>
      </c>
      <c r="D4" s="90" t="s">
        <v>291</v>
      </c>
    </row>
    <row r="5" spans="1:4" x14ac:dyDescent="0.35">
      <c r="A5" s="90" t="s">
        <v>290</v>
      </c>
      <c r="C5" s="90" t="s">
        <v>289</v>
      </c>
      <c r="D5" s="90" t="s">
        <v>288</v>
      </c>
    </row>
    <row r="6" spans="1:4" x14ac:dyDescent="0.35">
      <c r="A6" s="90" t="s">
        <v>287</v>
      </c>
      <c r="C6" s="90" t="s">
        <v>286</v>
      </c>
      <c r="D6" s="90" t="s">
        <v>285</v>
      </c>
    </row>
    <row r="7" spans="1:4" x14ac:dyDescent="0.35">
      <c r="A7" s="90" t="s">
        <v>284</v>
      </c>
      <c r="C7" s="90" t="s">
        <v>283</v>
      </c>
      <c r="D7" s="90" t="s">
        <v>282</v>
      </c>
    </row>
    <row r="8" spans="1:4" x14ac:dyDescent="0.35">
      <c r="A8" s="90" t="s">
        <v>281</v>
      </c>
      <c r="C8" s="90" t="s">
        <v>280</v>
      </c>
    </row>
    <row r="9" spans="1:4" x14ac:dyDescent="0.35">
      <c r="A9" s="90" t="s">
        <v>279</v>
      </c>
      <c r="C9" s="90" t="s">
        <v>278</v>
      </c>
    </row>
    <row r="10" spans="1:4" x14ac:dyDescent="0.35">
      <c r="C10" s="90" t="s">
        <v>277</v>
      </c>
    </row>
    <row r="11" spans="1:4" x14ac:dyDescent="0.35">
      <c r="C11" s="90" t="s">
        <v>276</v>
      </c>
    </row>
    <row r="12" spans="1:4" x14ac:dyDescent="0.35">
      <c r="C12" s="90" t="s">
        <v>275</v>
      </c>
    </row>
    <row r="13" spans="1:4" x14ac:dyDescent="0.35">
      <c r="C13" s="90" t="s">
        <v>274</v>
      </c>
    </row>
    <row r="14" spans="1:4" x14ac:dyDescent="0.35">
      <c r="C14" s="90" t="s">
        <v>273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519B-EE4A-419C-A7B7-479395EDA60D}">
  <sheetPr codeName="Sheet2">
    <outlinePr summaryBelow="0" summaryRight="0"/>
  </sheetPr>
  <dimension ref="A1:V141"/>
  <sheetViews>
    <sheetView tabSelected="1" zoomScale="89" zoomScaleNormal="89" workbookViewId="0">
      <selection activeCell="B1" sqref="B1:J1"/>
    </sheetView>
  </sheetViews>
  <sheetFormatPr defaultColWidth="12.59765625" defaultRowHeight="15.75" customHeight="1" x14ac:dyDescent="0.35"/>
  <cols>
    <col min="1" max="1" width="2.86328125" customWidth="1"/>
    <col min="2" max="3" width="54.73046875" customWidth="1"/>
    <col min="4" max="4" width="20.3984375" customWidth="1"/>
    <col min="5" max="5" width="33.265625" customWidth="1"/>
    <col min="6" max="7" width="13" customWidth="1"/>
    <col min="8" max="8" width="7.265625" customWidth="1"/>
    <col min="9" max="9" width="16.265625" customWidth="1"/>
    <col min="10" max="10" width="14.1328125" customWidth="1"/>
    <col min="11" max="11" width="18" customWidth="1"/>
    <col min="12" max="12" width="49.265625" customWidth="1"/>
    <col min="13" max="13" width="45.59765625" customWidth="1"/>
    <col min="14" max="14" width="20.3984375" customWidth="1"/>
    <col min="15" max="15" width="34.59765625" customWidth="1"/>
  </cols>
  <sheetData>
    <row r="1" spans="1:22" ht="13.15" thickBot="1" x14ac:dyDescent="0.4">
      <c r="A1" s="1"/>
      <c r="B1" s="125" t="s">
        <v>304</v>
      </c>
      <c r="C1" s="126"/>
      <c r="D1" s="126"/>
      <c r="E1" s="126"/>
      <c r="F1" s="126"/>
      <c r="G1" s="126"/>
      <c r="H1" s="126"/>
      <c r="I1" s="126"/>
      <c r="J1" s="126"/>
    </row>
    <row r="2" spans="1:22" ht="12.75" x14ac:dyDescent="0.35">
      <c r="A2" s="1"/>
      <c r="B2" s="112" t="s">
        <v>1</v>
      </c>
      <c r="C2" s="113" t="s">
        <v>2</v>
      </c>
      <c r="D2" s="136" t="s">
        <v>3</v>
      </c>
      <c r="E2" s="137"/>
      <c r="F2" s="114"/>
      <c r="G2" s="114"/>
      <c r="H2" s="114"/>
      <c r="I2" s="114"/>
      <c r="J2" s="114"/>
      <c r="K2" s="114"/>
      <c r="L2" s="114"/>
      <c r="M2" s="114"/>
      <c r="N2" s="114"/>
      <c r="O2" s="115"/>
    </row>
    <row r="3" spans="1:22" ht="24.75" customHeight="1" thickBot="1" x14ac:dyDescent="0.4">
      <c r="A3" s="1"/>
      <c r="B3" s="116"/>
      <c r="C3" s="5"/>
      <c r="D3" s="129"/>
      <c r="E3" s="130"/>
      <c r="F3" s="6"/>
      <c r="G3" s="6"/>
      <c r="H3" s="6"/>
      <c r="I3" s="6"/>
      <c r="J3" s="6"/>
      <c r="K3" s="6"/>
      <c r="L3" s="6"/>
      <c r="M3" s="6"/>
      <c r="N3" s="6"/>
      <c r="O3" s="117"/>
    </row>
    <row r="4" spans="1:22" ht="13.15" thickTop="1" x14ac:dyDescent="0.35">
      <c r="A4" s="8"/>
      <c r="B4" s="118" t="s">
        <v>4</v>
      </c>
      <c r="C4" s="10" t="s">
        <v>5</v>
      </c>
      <c r="D4" s="11"/>
      <c r="E4" s="12"/>
      <c r="F4" s="12"/>
      <c r="G4" s="12"/>
      <c r="H4" s="12"/>
      <c r="I4" s="12"/>
      <c r="J4" s="12"/>
      <c r="K4" s="6"/>
      <c r="L4" s="6"/>
      <c r="M4" s="6"/>
      <c r="N4" s="6"/>
      <c r="O4" s="117"/>
    </row>
    <row r="5" spans="1:22" ht="24.75" customHeight="1" thickBot="1" x14ac:dyDescent="0.4">
      <c r="A5" s="1"/>
      <c r="B5" s="119" t="s">
        <v>6</v>
      </c>
      <c r="C5" s="13" t="s">
        <v>7</v>
      </c>
      <c r="D5" s="12"/>
      <c r="E5" s="12"/>
      <c r="F5" s="12"/>
      <c r="G5" s="12"/>
      <c r="H5" s="12"/>
      <c r="I5" s="12"/>
      <c r="J5" s="12"/>
      <c r="K5" s="6"/>
      <c r="L5" s="6"/>
      <c r="M5" s="6"/>
      <c r="N5" s="6"/>
      <c r="O5" s="117"/>
    </row>
    <row r="6" spans="1:22" ht="12.75" x14ac:dyDescent="0.35">
      <c r="A6" s="1"/>
      <c r="B6" s="71" t="s">
        <v>8</v>
      </c>
      <c r="C6" s="72" t="s">
        <v>9</v>
      </c>
      <c r="D6" s="73" t="s">
        <v>8</v>
      </c>
      <c r="E6" s="72" t="s">
        <v>148</v>
      </c>
      <c r="F6" s="72" t="s">
        <v>146</v>
      </c>
      <c r="G6" s="72" t="s">
        <v>147</v>
      </c>
      <c r="H6" s="72" t="s">
        <v>13</v>
      </c>
      <c r="I6" s="72" t="s">
        <v>14</v>
      </c>
      <c r="J6" s="72" t="s">
        <v>14</v>
      </c>
      <c r="K6" s="72" t="s">
        <v>15</v>
      </c>
      <c r="L6" s="72" t="s">
        <v>16</v>
      </c>
      <c r="M6" s="72" t="s">
        <v>17</v>
      </c>
      <c r="N6" s="72" t="s">
        <v>18</v>
      </c>
      <c r="O6" s="74" t="s">
        <v>19</v>
      </c>
    </row>
    <row r="7" spans="1:22" ht="13.5" customHeight="1" x14ac:dyDescent="0.35">
      <c r="B7" s="75" t="str">
        <f>D7 &amp; "_" &amp; B$5</f>
        <v>SC2_composite_submittername</v>
      </c>
      <c r="C7" s="54" t="str">
        <f>D7 &amp; "_" &amp; B$5 &amp; "." &amp; C$5</f>
        <v>SC2_composite_submittername.fa</v>
      </c>
      <c r="D7" s="55" t="s">
        <v>130</v>
      </c>
      <c r="E7" s="56" t="s">
        <v>115</v>
      </c>
      <c r="F7" s="57" t="s">
        <v>158</v>
      </c>
      <c r="G7" s="57"/>
      <c r="H7" s="57"/>
      <c r="I7" s="58"/>
      <c r="J7" s="58"/>
      <c r="K7" s="57"/>
      <c r="L7" s="57"/>
      <c r="M7" s="57"/>
      <c r="N7" s="57"/>
      <c r="O7" s="76"/>
      <c r="P7" s="22"/>
      <c r="Q7" s="25"/>
      <c r="R7" s="22"/>
      <c r="S7" s="22"/>
      <c r="T7" s="22"/>
      <c r="U7" s="22"/>
      <c r="V7" s="22"/>
    </row>
    <row r="8" spans="1:22" ht="13.5" customHeight="1" x14ac:dyDescent="0.35">
      <c r="B8" s="75" t="str">
        <f t="shared" ref="B8:B9" si="0">D8 &amp; "_" &amp; B$5</f>
        <v>RSVA_1540_submittername</v>
      </c>
      <c r="C8" s="54" t="str">
        <f t="shared" ref="C8:C9" si="1">D8 &amp; "_" &amp; B$5 &amp; "." &amp; C$5</f>
        <v>RSVA_1540_submittername.fa</v>
      </c>
      <c r="D8" s="59" t="s">
        <v>131</v>
      </c>
      <c r="E8" s="60" t="s">
        <v>101</v>
      </c>
      <c r="F8" s="61" t="s">
        <v>156</v>
      </c>
      <c r="G8" s="61"/>
      <c r="H8" s="61"/>
      <c r="I8" s="62"/>
      <c r="J8" s="62"/>
      <c r="K8" s="61"/>
      <c r="L8" s="61"/>
      <c r="M8" s="61"/>
      <c r="N8" s="61"/>
      <c r="O8" s="77"/>
      <c r="P8" s="22"/>
      <c r="Q8" s="25"/>
      <c r="R8" s="22"/>
      <c r="S8" s="22"/>
      <c r="T8" s="22"/>
      <c r="U8" s="22"/>
      <c r="V8" s="22"/>
    </row>
    <row r="9" spans="1:22" ht="13.5" customHeight="1" x14ac:dyDescent="0.35">
      <c r="B9" s="75" t="str">
        <f t="shared" si="0"/>
        <v>RSVB_3381_submittername</v>
      </c>
      <c r="C9" s="54" t="str">
        <f t="shared" si="1"/>
        <v>RSVB_3381_submittername.fa</v>
      </c>
      <c r="D9" s="59" t="s">
        <v>132</v>
      </c>
      <c r="E9" s="60" t="s">
        <v>104</v>
      </c>
      <c r="F9" s="61" t="s">
        <v>157</v>
      </c>
      <c r="G9" s="61"/>
      <c r="H9" s="61"/>
      <c r="I9" s="62"/>
      <c r="J9" s="62"/>
      <c r="K9" s="61"/>
      <c r="L9" s="61"/>
      <c r="M9" s="61"/>
      <c r="N9" s="61"/>
      <c r="O9" s="77"/>
      <c r="P9" s="22"/>
      <c r="Q9" s="25"/>
      <c r="R9" s="22"/>
      <c r="S9" s="22"/>
      <c r="T9" s="22"/>
      <c r="U9" s="22"/>
      <c r="V9" s="22"/>
    </row>
    <row r="10" spans="1:22" ht="13.5" customHeight="1" x14ac:dyDescent="0.35">
      <c r="B10" s="78" t="str">
        <f>D10 &amp; "_" &amp; F10 &amp; "_" &amp; B$5</f>
        <v>H1N1_1469_flua1_submittername</v>
      </c>
      <c r="C10" s="63" t="str">
        <f>D10 &amp; "_" &amp; F10 &amp; "_" &amp; B$5 &amp; "." &amp; C$5</f>
        <v>H1N1_1469_flua1_submittername.fa</v>
      </c>
      <c r="D10" s="64" t="s">
        <v>133</v>
      </c>
      <c r="E10" s="65" t="s">
        <v>51</v>
      </c>
      <c r="F10" s="65" t="s">
        <v>145</v>
      </c>
      <c r="G10" s="65"/>
      <c r="H10" s="65"/>
      <c r="I10" s="66"/>
      <c r="J10" s="66"/>
      <c r="K10" s="65"/>
      <c r="L10" s="65"/>
      <c r="M10" s="65"/>
      <c r="N10" s="65"/>
      <c r="O10" s="79"/>
      <c r="P10" s="22"/>
      <c r="Q10" s="25"/>
      <c r="R10" s="22"/>
      <c r="S10" s="22"/>
      <c r="T10" s="22"/>
      <c r="U10" s="22"/>
      <c r="V10" s="22"/>
    </row>
    <row r="11" spans="1:22" ht="13.5" customHeight="1" x14ac:dyDescent="0.35">
      <c r="B11" s="80" t="str">
        <f t="shared" ref="B11:B74" si="2">D11 &amp; "_" &amp; F11 &amp; "_" &amp; B$5</f>
        <v>H1N1_1469_flua2_submittername</v>
      </c>
      <c r="C11" s="1" t="str">
        <f t="shared" ref="C11:C74" si="3">D11 &amp; "_" &amp; F11 &amp; "_" &amp; B$5 &amp; "." &amp; C$5</f>
        <v>H1N1_1469_flua2_submittername.fa</v>
      </c>
      <c r="D11" s="110" t="s">
        <v>133</v>
      </c>
      <c r="E11" s="22" t="s">
        <v>54</v>
      </c>
      <c r="F11" s="22" t="s">
        <v>149</v>
      </c>
      <c r="G11" s="22"/>
      <c r="H11" s="23"/>
      <c r="I11" s="23"/>
      <c r="J11" s="23"/>
      <c r="O11" s="81"/>
    </row>
    <row r="12" spans="1:22" ht="13.5" customHeight="1" x14ac:dyDescent="0.35">
      <c r="B12" s="80" t="str">
        <f t="shared" si="2"/>
        <v>H1N1_1469_flua3_submittername</v>
      </c>
      <c r="C12" s="1" t="str">
        <f t="shared" si="3"/>
        <v>H1N1_1469_flua3_submittername.fa</v>
      </c>
      <c r="D12" s="110" t="s">
        <v>133</v>
      </c>
      <c r="E12" s="22" t="s">
        <v>56</v>
      </c>
      <c r="F12" s="22" t="s">
        <v>150</v>
      </c>
      <c r="G12" s="22"/>
      <c r="H12" s="23"/>
      <c r="I12" s="23"/>
      <c r="J12" s="23"/>
      <c r="O12" s="81"/>
    </row>
    <row r="13" spans="1:22" ht="13.5" customHeight="1" x14ac:dyDescent="0.35">
      <c r="B13" s="80" t="str">
        <f t="shared" si="2"/>
        <v>H1N1_1469_flua4_submittername</v>
      </c>
      <c r="C13" s="1" t="str">
        <f t="shared" si="3"/>
        <v>H1N1_1469_flua4_submittername.fa</v>
      </c>
      <c r="D13" s="110" t="s">
        <v>133</v>
      </c>
      <c r="E13" s="22" t="s">
        <v>58</v>
      </c>
      <c r="F13" s="22" t="s">
        <v>151</v>
      </c>
      <c r="G13" s="22"/>
      <c r="H13" s="23"/>
      <c r="I13" s="23"/>
      <c r="J13" s="23"/>
      <c r="O13" s="81"/>
    </row>
    <row r="14" spans="1:22" ht="13.5" customHeight="1" x14ac:dyDescent="0.35">
      <c r="B14" s="80" t="str">
        <f t="shared" si="2"/>
        <v>H1N1_1469_flua5_submittername</v>
      </c>
      <c r="C14" s="1" t="str">
        <f t="shared" si="3"/>
        <v>H1N1_1469_flua5_submittername.fa</v>
      </c>
      <c r="D14" s="110" t="s">
        <v>133</v>
      </c>
      <c r="E14" s="22" t="s">
        <v>60</v>
      </c>
      <c r="F14" s="22" t="s">
        <v>152</v>
      </c>
      <c r="G14" s="22"/>
      <c r="H14" s="23"/>
      <c r="I14" s="23"/>
      <c r="J14" s="23"/>
      <c r="O14" s="81"/>
    </row>
    <row r="15" spans="1:22" ht="13.5" customHeight="1" x14ac:dyDescent="0.35">
      <c r="B15" s="80" t="str">
        <f t="shared" si="2"/>
        <v>H1N1_1469_flua6_submittername</v>
      </c>
      <c r="C15" s="1" t="str">
        <f t="shared" si="3"/>
        <v>H1N1_1469_flua6_submittername.fa</v>
      </c>
      <c r="D15" s="110" t="s">
        <v>133</v>
      </c>
      <c r="E15" s="22" t="s">
        <v>62</v>
      </c>
      <c r="F15" s="22" t="s">
        <v>153</v>
      </c>
      <c r="G15" s="22"/>
      <c r="H15" s="23"/>
      <c r="I15" s="23"/>
      <c r="J15" s="23"/>
      <c r="O15" s="81"/>
    </row>
    <row r="16" spans="1:22" ht="13.5" customHeight="1" x14ac:dyDescent="0.35">
      <c r="B16" s="80" t="str">
        <f t="shared" si="2"/>
        <v>H1N1_1469_flua7_submittername</v>
      </c>
      <c r="C16" s="1" t="str">
        <f t="shared" si="3"/>
        <v>H1N1_1469_flua7_submittername.fa</v>
      </c>
      <c r="D16" s="110" t="s">
        <v>133</v>
      </c>
      <c r="E16" s="22" t="s">
        <v>64</v>
      </c>
      <c r="F16" s="22" t="s">
        <v>154</v>
      </c>
      <c r="G16" s="22"/>
      <c r="H16" s="23"/>
      <c r="I16" s="23"/>
      <c r="J16" s="23"/>
      <c r="O16" s="81"/>
    </row>
    <row r="17" spans="2:22" ht="13.5" customHeight="1" x14ac:dyDescent="0.35">
      <c r="B17" s="75" t="str">
        <f t="shared" si="2"/>
        <v>H1N1_1469_flua8_submittername</v>
      </c>
      <c r="C17" s="54" t="str">
        <f t="shared" si="3"/>
        <v>H1N1_1469_flua8_submittername.fa</v>
      </c>
      <c r="D17" s="55" t="s">
        <v>133</v>
      </c>
      <c r="E17" s="57" t="s">
        <v>66</v>
      </c>
      <c r="F17" s="57" t="s">
        <v>155</v>
      </c>
      <c r="G17" s="57"/>
      <c r="H17" s="58"/>
      <c r="I17" s="58"/>
      <c r="J17" s="58"/>
      <c r="K17" s="67"/>
      <c r="L17" s="67"/>
      <c r="M17" s="67"/>
      <c r="N17" s="67"/>
      <c r="O17" s="82"/>
    </row>
    <row r="18" spans="2:22" ht="13.5" customHeight="1" x14ac:dyDescent="0.35">
      <c r="B18" s="78" t="str">
        <f t="shared" si="2"/>
        <v>H3N2_777_flua1_submittername</v>
      </c>
      <c r="C18" s="63" t="str">
        <f t="shared" si="3"/>
        <v>H3N2_777_flua1_submittername.fa</v>
      </c>
      <c r="D18" s="64" t="s">
        <v>134</v>
      </c>
      <c r="E18" s="65" t="s">
        <v>51</v>
      </c>
      <c r="F18" s="65" t="s">
        <v>145</v>
      </c>
      <c r="G18" s="65"/>
      <c r="H18" s="65"/>
      <c r="I18" s="66"/>
      <c r="J18" s="66"/>
      <c r="K18" s="65"/>
      <c r="L18" s="65"/>
      <c r="M18" s="65"/>
      <c r="N18" s="65"/>
      <c r="O18" s="79"/>
      <c r="P18" s="22"/>
      <c r="Q18" s="25"/>
      <c r="R18" s="22"/>
      <c r="S18" s="22"/>
      <c r="T18" s="22"/>
      <c r="U18" s="22"/>
      <c r="V18" s="22"/>
    </row>
    <row r="19" spans="2:22" ht="13.5" customHeight="1" x14ac:dyDescent="0.35">
      <c r="B19" s="80" t="str">
        <f t="shared" si="2"/>
        <v>H3N2_777_flua2_submittername</v>
      </c>
      <c r="C19" s="1" t="str">
        <f t="shared" si="3"/>
        <v>H3N2_777_flua2_submittername.fa</v>
      </c>
      <c r="D19" s="110" t="s">
        <v>134</v>
      </c>
      <c r="E19" s="22" t="s">
        <v>54</v>
      </c>
      <c r="F19" s="22" t="s">
        <v>149</v>
      </c>
      <c r="G19" s="22"/>
      <c r="H19" s="23"/>
      <c r="I19" s="23"/>
      <c r="J19" s="23"/>
      <c r="O19" s="81"/>
    </row>
    <row r="20" spans="2:22" ht="13.5" customHeight="1" x14ac:dyDescent="0.35">
      <c r="B20" s="80" t="str">
        <f t="shared" si="2"/>
        <v>H3N2_777_flua3_submittername</v>
      </c>
      <c r="C20" s="1" t="str">
        <f t="shared" si="3"/>
        <v>H3N2_777_flua3_submittername.fa</v>
      </c>
      <c r="D20" s="110" t="s">
        <v>134</v>
      </c>
      <c r="E20" s="22" t="s">
        <v>56</v>
      </c>
      <c r="F20" s="22" t="s">
        <v>150</v>
      </c>
      <c r="G20" s="22"/>
      <c r="H20" s="23"/>
      <c r="I20" s="23"/>
      <c r="J20" s="23"/>
      <c r="O20" s="81"/>
    </row>
    <row r="21" spans="2:22" ht="13.5" customHeight="1" x14ac:dyDescent="0.35">
      <c r="B21" s="80" t="str">
        <f t="shared" si="2"/>
        <v>H3N2_777_flua4_submittername</v>
      </c>
      <c r="C21" s="1" t="str">
        <f t="shared" si="3"/>
        <v>H3N2_777_flua4_submittername.fa</v>
      </c>
      <c r="D21" s="110" t="s">
        <v>134</v>
      </c>
      <c r="E21" s="22" t="s">
        <v>58</v>
      </c>
      <c r="F21" s="22" t="s">
        <v>151</v>
      </c>
      <c r="G21" s="22"/>
      <c r="H21" s="23"/>
      <c r="I21" s="23"/>
      <c r="J21" s="23"/>
      <c r="O21" s="81"/>
    </row>
    <row r="22" spans="2:22" ht="13.5" customHeight="1" x14ac:dyDescent="0.35">
      <c r="B22" s="80" t="str">
        <f t="shared" si="2"/>
        <v>H3N2_777_flua5_submittername</v>
      </c>
      <c r="C22" s="1" t="str">
        <f t="shared" si="3"/>
        <v>H3N2_777_flua5_submittername.fa</v>
      </c>
      <c r="D22" s="110" t="s">
        <v>134</v>
      </c>
      <c r="E22" s="22" t="s">
        <v>60</v>
      </c>
      <c r="F22" s="22" t="s">
        <v>152</v>
      </c>
      <c r="G22" s="22"/>
      <c r="H22" s="23"/>
      <c r="I22" s="23"/>
      <c r="J22" s="23"/>
      <c r="O22" s="81"/>
    </row>
    <row r="23" spans="2:22" ht="13.5" customHeight="1" x14ac:dyDescent="0.35">
      <c r="B23" s="80" t="str">
        <f t="shared" si="2"/>
        <v>H3N2_777_flua6_submittername</v>
      </c>
      <c r="C23" s="1" t="str">
        <f t="shared" si="3"/>
        <v>H3N2_777_flua6_submittername.fa</v>
      </c>
      <c r="D23" s="110" t="s">
        <v>134</v>
      </c>
      <c r="E23" s="22" t="s">
        <v>62</v>
      </c>
      <c r="F23" s="22" t="s">
        <v>153</v>
      </c>
      <c r="G23" s="22"/>
      <c r="H23" s="23"/>
      <c r="I23" s="23"/>
      <c r="J23" s="23"/>
      <c r="O23" s="81"/>
    </row>
    <row r="24" spans="2:22" ht="13.5" customHeight="1" x14ac:dyDescent="0.35">
      <c r="B24" s="80" t="str">
        <f t="shared" si="2"/>
        <v>H3N2_777_flua7_submittername</v>
      </c>
      <c r="C24" s="1" t="str">
        <f t="shared" si="3"/>
        <v>H3N2_777_flua7_submittername.fa</v>
      </c>
      <c r="D24" s="110" t="s">
        <v>134</v>
      </c>
      <c r="E24" s="22" t="s">
        <v>64</v>
      </c>
      <c r="F24" s="22" t="s">
        <v>154</v>
      </c>
      <c r="G24" s="22"/>
      <c r="H24" s="23"/>
      <c r="I24" s="23"/>
      <c r="J24" s="23"/>
      <c r="O24" s="81"/>
    </row>
    <row r="25" spans="2:22" ht="13.5" customHeight="1" x14ac:dyDescent="0.35">
      <c r="B25" s="75" t="str">
        <f t="shared" si="2"/>
        <v>H3N2_777_flua8_submittername</v>
      </c>
      <c r="C25" s="54" t="str">
        <f t="shared" si="3"/>
        <v>H3N2_777_flua8_submittername.fa</v>
      </c>
      <c r="D25" s="55" t="s">
        <v>134</v>
      </c>
      <c r="E25" s="57" t="s">
        <v>66</v>
      </c>
      <c r="F25" s="57" t="s">
        <v>155</v>
      </c>
      <c r="G25" s="57"/>
      <c r="H25" s="58"/>
      <c r="I25" s="58"/>
      <c r="J25" s="58"/>
      <c r="K25" s="67"/>
      <c r="L25" s="67"/>
      <c r="M25" s="67"/>
      <c r="N25" s="67"/>
      <c r="O25" s="82"/>
    </row>
    <row r="26" spans="2:22" ht="13.5" customHeight="1" x14ac:dyDescent="0.35">
      <c r="B26" s="78" t="str">
        <f t="shared" si="2"/>
        <v>INFB_1931_flua1_submittername</v>
      </c>
      <c r="C26" s="63" t="str">
        <f t="shared" si="3"/>
        <v>INFB_1931_flua1_submittername.fa</v>
      </c>
      <c r="D26" s="64" t="s">
        <v>135</v>
      </c>
      <c r="E26" s="65" t="s">
        <v>21</v>
      </c>
      <c r="F26" s="65" t="s">
        <v>145</v>
      </c>
      <c r="G26" s="65"/>
      <c r="H26" s="65"/>
      <c r="I26" s="66"/>
      <c r="J26" s="66"/>
      <c r="K26" s="65"/>
      <c r="L26" s="65"/>
      <c r="M26" s="65"/>
      <c r="N26" s="65"/>
      <c r="O26" s="79"/>
      <c r="P26" s="22"/>
      <c r="Q26" s="25"/>
      <c r="R26" s="22"/>
      <c r="S26" s="22"/>
      <c r="T26" s="22"/>
      <c r="U26" s="22"/>
      <c r="V26" s="22"/>
    </row>
    <row r="27" spans="2:22" ht="13.5" customHeight="1" x14ac:dyDescent="0.35">
      <c r="B27" s="80" t="str">
        <f t="shared" si="2"/>
        <v>INFB_1931_flua2_submittername</v>
      </c>
      <c r="C27" s="1" t="str">
        <f t="shared" si="3"/>
        <v>INFB_1931_flua2_submittername.fa</v>
      </c>
      <c r="D27" s="110" t="s">
        <v>135</v>
      </c>
      <c r="E27" s="22" t="s">
        <v>26</v>
      </c>
      <c r="F27" s="22" t="s">
        <v>149</v>
      </c>
      <c r="G27" s="22"/>
      <c r="H27" s="23"/>
      <c r="I27" s="23"/>
      <c r="J27" s="23"/>
      <c r="O27" s="81"/>
    </row>
    <row r="28" spans="2:22" ht="13.5" customHeight="1" x14ac:dyDescent="0.35">
      <c r="B28" s="80" t="str">
        <f t="shared" si="2"/>
        <v>INFB_1931_flua3_submittername</v>
      </c>
      <c r="C28" s="1" t="str">
        <f t="shared" si="3"/>
        <v>INFB_1931_flua3_submittername.fa</v>
      </c>
      <c r="D28" s="110" t="s">
        <v>135</v>
      </c>
      <c r="E28" s="22" t="s">
        <v>28</v>
      </c>
      <c r="F28" s="22" t="s">
        <v>150</v>
      </c>
      <c r="G28" s="22"/>
      <c r="H28" s="23"/>
      <c r="I28" s="23"/>
      <c r="J28" s="23"/>
      <c r="O28" s="81"/>
    </row>
    <row r="29" spans="2:22" ht="13.5" customHeight="1" x14ac:dyDescent="0.35">
      <c r="B29" s="80" t="str">
        <f t="shared" si="2"/>
        <v>INFB_1931_flua4_submittername</v>
      </c>
      <c r="C29" s="1" t="str">
        <f t="shared" si="3"/>
        <v>INFB_1931_flua4_submittername.fa</v>
      </c>
      <c r="D29" s="110" t="s">
        <v>135</v>
      </c>
      <c r="E29" s="22" t="s">
        <v>30</v>
      </c>
      <c r="F29" s="22" t="s">
        <v>151</v>
      </c>
      <c r="G29" s="22"/>
      <c r="H29" s="23"/>
      <c r="I29" s="23"/>
      <c r="J29" s="23"/>
      <c r="O29" s="81"/>
    </row>
    <row r="30" spans="2:22" ht="13.5" customHeight="1" x14ac:dyDescent="0.35">
      <c r="B30" s="80" t="str">
        <f t="shared" si="2"/>
        <v>INFB_1931_flua5_submittername</v>
      </c>
      <c r="C30" s="1" t="str">
        <f t="shared" si="3"/>
        <v>INFB_1931_flua5_submittername.fa</v>
      </c>
      <c r="D30" s="110" t="s">
        <v>135</v>
      </c>
      <c r="E30" s="22" t="s">
        <v>32</v>
      </c>
      <c r="F30" s="22" t="s">
        <v>152</v>
      </c>
      <c r="G30" s="22"/>
      <c r="H30" s="23"/>
      <c r="I30" s="23"/>
      <c r="J30" s="23"/>
      <c r="O30" s="81"/>
    </row>
    <row r="31" spans="2:22" ht="13.5" customHeight="1" x14ac:dyDescent="0.35">
      <c r="B31" s="80" t="str">
        <f t="shared" si="2"/>
        <v>INFB_1931_flua6_submittername</v>
      </c>
      <c r="C31" s="1" t="str">
        <f t="shared" si="3"/>
        <v>INFB_1931_flua6_submittername.fa</v>
      </c>
      <c r="D31" s="110" t="s">
        <v>135</v>
      </c>
      <c r="E31" s="22" t="s">
        <v>34</v>
      </c>
      <c r="F31" s="22" t="s">
        <v>153</v>
      </c>
      <c r="G31" s="22"/>
      <c r="H31" s="23"/>
      <c r="I31" s="23"/>
      <c r="J31" s="23"/>
      <c r="O31" s="81"/>
    </row>
    <row r="32" spans="2:22" ht="13.5" customHeight="1" x14ac:dyDescent="0.35">
      <c r="B32" s="80" t="str">
        <f t="shared" si="2"/>
        <v>INFB_1931_flua7_submittername</v>
      </c>
      <c r="C32" s="1" t="str">
        <f t="shared" si="3"/>
        <v>INFB_1931_flua7_submittername.fa</v>
      </c>
      <c r="D32" s="110" t="s">
        <v>135</v>
      </c>
      <c r="E32" s="22" t="s">
        <v>36</v>
      </c>
      <c r="F32" s="22" t="s">
        <v>154</v>
      </c>
      <c r="G32" s="22"/>
      <c r="H32" s="23"/>
      <c r="I32" s="23"/>
      <c r="J32" s="23"/>
      <c r="O32" s="81"/>
    </row>
    <row r="33" spans="2:22" ht="13.5" customHeight="1" x14ac:dyDescent="0.35">
      <c r="B33" s="75" t="str">
        <f t="shared" si="2"/>
        <v>INFB_1931_flua8_submittername</v>
      </c>
      <c r="C33" s="54" t="str">
        <f t="shared" si="3"/>
        <v>INFB_1931_flua8_submittername.fa</v>
      </c>
      <c r="D33" s="55" t="s">
        <v>135</v>
      </c>
      <c r="E33" s="57" t="s">
        <v>38</v>
      </c>
      <c r="F33" s="57" t="s">
        <v>155</v>
      </c>
      <c r="G33" s="57"/>
      <c r="H33" s="58"/>
      <c r="I33" s="58"/>
      <c r="J33" s="58"/>
      <c r="K33" s="67"/>
      <c r="L33" s="67"/>
      <c r="M33" s="67"/>
      <c r="N33" s="67"/>
      <c r="O33" s="82"/>
    </row>
    <row r="34" spans="2:22" ht="13.5" customHeight="1" x14ac:dyDescent="0.35">
      <c r="B34" s="78" t="str">
        <f t="shared" si="2"/>
        <v>MIX1-A_1469-777_4-1_flua1_submittername</v>
      </c>
      <c r="C34" s="63" t="str">
        <f t="shared" si="3"/>
        <v>MIX1-A_1469-777_4-1_flua1_submittername.fa</v>
      </c>
      <c r="D34" s="64" t="s">
        <v>136</v>
      </c>
      <c r="E34" s="65" t="s">
        <v>51</v>
      </c>
      <c r="F34" s="65" t="s">
        <v>145</v>
      </c>
      <c r="G34" s="65"/>
      <c r="H34" s="65"/>
      <c r="I34" s="66"/>
      <c r="J34" s="66"/>
      <c r="K34" s="65"/>
      <c r="L34" s="65"/>
      <c r="M34" s="65"/>
      <c r="N34" s="65"/>
      <c r="O34" s="79"/>
      <c r="P34" s="22"/>
      <c r="Q34" s="25"/>
      <c r="R34" s="22"/>
      <c r="S34" s="22"/>
      <c r="T34" s="22"/>
      <c r="U34" s="22"/>
      <c r="V34" s="22"/>
    </row>
    <row r="35" spans="2:22" ht="13.5" customHeight="1" x14ac:dyDescent="0.35">
      <c r="B35" s="80" t="str">
        <f t="shared" si="2"/>
        <v>MIX1-A_1469-777_4-1_flua2_submittername</v>
      </c>
      <c r="C35" s="1" t="str">
        <f t="shared" si="3"/>
        <v>MIX1-A_1469-777_4-1_flua2_submittername.fa</v>
      </c>
      <c r="D35" s="110" t="s">
        <v>136</v>
      </c>
      <c r="E35" s="22" t="s">
        <v>54</v>
      </c>
      <c r="F35" s="22" t="s">
        <v>149</v>
      </c>
      <c r="G35" s="22"/>
      <c r="H35" s="23"/>
      <c r="I35" s="23"/>
      <c r="J35" s="23"/>
      <c r="O35" s="81"/>
    </row>
    <row r="36" spans="2:22" ht="13.5" customHeight="1" x14ac:dyDescent="0.35">
      <c r="B36" s="80" t="str">
        <f t="shared" si="2"/>
        <v>MIX1-A_1469-777_4-1_flua3_submittername</v>
      </c>
      <c r="C36" s="1" t="str">
        <f t="shared" si="3"/>
        <v>MIX1-A_1469-777_4-1_flua3_submittername.fa</v>
      </c>
      <c r="D36" s="110" t="s">
        <v>136</v>
      </c>
      <c r="E36" s="22" t="s">
        <v>56</v>
      </c>
      <c r="F36" s="22" t="s">
        <v>150</v>
      </c>
      <c r="G36" s="22"/>
      <c r="H36" s="23"/>
      <c r="I36" s="23"/>
      <c r="J36" s="23"/>
      <c r="O36" s="81"/>
    </row>
    <row r="37" spans="2:22" ht="13.5" customHeight="1" x14ac:dyDescent="0.35">
      <c r="B37" s="80" t="str">
        <f t="shared" si="2"/>
        <v>MIX1-A_1469-777_4-1_flua4_submittername</v>
      </c>
      <c r="C37" s="1" t="str">
        <f t="shared" si="3"/>
        <v>MIX1-A_1469-777_4-1_flua4_submittername.fa</v>
      </c>
      <c r="D37" s="110" t="s">
        <v>136</v>
      </c>
      <c r="E37" s="22" t="s">
        <v>58</v>
      </c>
      <c r="F37" s="22" t="s">
        <v>151</v>
      </c>
      <c r="G37" s="22"/>
      <c r="H37" s="23"/>
      <c r="I37" s="23"/>
      <c r="J37" s="23"/>
      <c r="O37" s="81"/>
    </row>
    <row r="38" spans="2:22" ht="13.5" customHeight="1" x14ac:dyDescent="0.35">
      <c r="B38" s="80" t="str">
        <f t="shared" si="2"/>
        <v>MIX1-A_1469-777_4-1_flua5_submittername</v>
      </c>
      <c r="C38" s="1" t="str">
        <f t="shared" si="3"/>
        <v>MIX1-A_1469-777_4-1_flua5_submittername.fa</v>
      </c>
      <c r="D38" s="110" t="s">
        <v>136</v>
      </c>
      <c r="E38" s="22" t="s">
        <v>60</v>
      </c>
      <c r="F38" s="22" t="s">
        <v>152</v>
      </c>
      <c r="G38" s="22"/>
      <c r="H38" s="23"/>
      <c r="I38" s="23"/>
      <c r="J38" s="23"/>
      <c r="O38" s="81"/>
    </row>
    <row r="39" spans="2:22" ht="13.5" customHeight="1" x14ac:dyDescent="0.35">
      <c r="B39" s="80" t="str">
        <f t="shared" si="2"/>
        <v>MIX1-A_1469-777_4-1_flua6_submittername</v>
      </c>
      <c r="C39" s="1" t="str">
        <f t="shared" si="3"/>
        <v>MIX1-A_1469-777_4-1_flua6_submittername.fa</v>
      </c>
      <c r="D39" s="110" t="s">
        <v>136</v>
      </c>
      <c r="E39" s="22" t="s">
        <v>62</v>
      </c>
      <c r="F39" s="22" t="s">
        <v>153</v>
      </c>
      <c r="G39" s="22"/>
      <c r="H39" s="23"/>
      <c r="I39" s="23"/>
      <c r="J39" s="23"/>
      <c r="O39" s="81"/>
    </row>
    <row r="40" spans="2:22" ht="13.5" customHeight="1" x14ac:dyDescent="0.35">
      <c r="B40" s="80" t="str">
        <f t="shared" si="2"/>
        <v>MIX1-A_1469-777_4-1_flua7_submittername</v>
      </c>
      <c r="C40" s="1" t="str">
        <f t="shared" si="3"/>
        <v>MIX1-A_1469-777_4-1_flua7_submittername.fa</v>
      </c>
      <c r="D40" s="110" t="s">
        <v>136</v>
      </c>
      <c r="E40" s="22" t="s">
        <v>64</v>
      </c>
      <c r="F40" s="22" t="s">
        <v>154</v>
      </c>
      <c r="G40" s="22"/>
      <c r="H40" s="23"/>
      <c r="I40" s="23"/>
      <c r="J40" s="23"/>
      <c r="O40" s="81"/>
    </row>
    <row r="41" spans="2:22" ht="13.5" customHeight="1" x14ac:dyDescent="0.35">
      <c r="B41" s="75" t="str">
        <f t="shared" si="2"/>
        <v>MIX1-A_1469-777_4-1_flua8_submittername</v>
      </c>
      <c r="C41" s="54" t="str">
        <f t="shared" si="3"/>
        <v>MIX1-A_1469-777_4-1_flua8_submittername.fa</v>
      </c>
      <c r="D41" s="55" t="s">
        <v>136</v>
      </c>
      <c r="E41" s="57" t="s">
        <v>66</v>
      </c>
      <c r="F41" s="57" t="s">
        <v>155</v>
      </c>
      <c r="G41" s="57"/>
      <c r="H41" s="58"/>
      <c r="I41" s="58"/>
      <c r="J41" s="58"/>
      <c r="K41" s="67"/>
      <c r="L41" s="67"/>
      <c r="M41" s="67"/>
      <c r="N41" s="67"/>
      <c r="O41" s="82"/>
    </row>
    <row r="42" spans="2:22" ht="13.5" customHeight="1" x14ac:dyDescent="0.35">
      <c r="B42" s="80" t="str">
        <f t="shared" si="2"/>
        <v>MIX1-B_1469-777_1-1_flua1_submittername</v>
      </c>
      <c r="C42" s="1" t="str">
        <f t="shared" si="3"/>
        <v>MIX1-B_1469-777_1-1_flua1_submittername.fa</v>
      </c>
      <c r="D42" s="110" t="s">
        <v>137</v>
      </c>
      <c r="E42" s="22" t="s">
        <v>51</v>
      </c>
      <c r="F42" s="65" t="s">
        <v>145</v>
      </c>
      <c r="G42" s="22"/>
      <c r="H42" s="22"/>
      <c r="I42" s="66"/>
      <c r="J42" s="23"/>
      <c r="K42" s="22"/>
      <c r="L42" s="22"/>
      <c r="M42" s="22"/>
      <c r="N42" s="22"/>
      <c r="O42" s="83"/>
      <c r="P42" s="22"/>
      <c r="Q42" s="25"/>
      <c r="R42" s="22"/>
      <c r="S42" s="22"/>
      <c r="T42" s="22"/>
      <c r="U42" s="22"/>
      <c r="V42" s="22"/>
    </row>
    <row r="43" spans="2:22" ht="13.5" customHeight="1" x14ac:dyDescent="0.35">
      <c r="B43" s="80" t="str">
        <f t="shared" si="2"/>
        <v>MIX1-B_1469-777_1-1_flua2_submittername</v>
      </c>
      <c r="C43" s="1" t="str">
        <f t="shared" si="3"/>
        <v>MIX1-B_1469-777_1-1_flua2_submittername.fa</v>
      </c>
      <c r="D43" s="110" t="s">
        <v>137</v>
      </c>
      <c r="E43" s="22" t="s">
        <v>54</v>
      </c>
      <c r="F43" s="22" t="s">
        <v>149</v>
      </c>
      <c r="G43" s="22"/>
      <c r="H43" s="23"/>
      <c r="I43" s="23"/>
      <c r="J43" s="23"/>
      <c r="O43" s="81"/>
    </row>
    <row r="44" spans="2:22" ht="13.5" customHeight="1" x14ac:dyDescent="0.35">
      <c r="B44" s="80" t="str">
        <f t="shared" si="2"/>
        <v>MIX1-B_1469-777_1-1_flua3_submittername</v>
      </c>
      <c r="C44" s="1" t="str">
        <f t="shared" si="3"/>
        <v>MIX1-B_1469-777_1-1_flua3_submittername.fa</v>
      </c>
      <c r="D44" s="110" t="s">
        <v>137</v>
      </c>
      <c r="E44" s="22" t="s">
        <v>56</v>
      </c>
      <c r="F44" s="22" t="s">
        <v>150</v>
      </c>
      <c r="G44" s="22"/>
      <c r="H44" s="23"/>
      <c r="I44" s="23"/>
      <c r="J44" s="23"/>
      <c r="O44" s="81"/>
    </row>
    <row r="45" spans="2:22" ht="13.5" customHeight="1" x14ac:dyDescent="0.35">
      <c r="B45" s="80" t="str">
        <f t="shared" si="2"/>
        <v>MIX1-B_1469-777_1-1_flua4_submittername</v>
      </c>
      <c r="C45" s="1" t="str">
        <f t="shared" si="3"/>
        <v>MIX1-B_1469-777_1-1_flua4_submittername.fa</v>
      </c>
      <c r="D45" s="110" t="s">
        <v>137</v>
      </c>
      <c r="E45" s="22" t="s">
        <v>58</v>
      </c>
      <c r="F45" s="22" t="s">
        <v>151</v>
      </c>
      <c r="G45" s="22"/>
      <c r="H45" s="23"/>
      <c r="I45" s="23"/>
      <c r="J45" s="23"/>
      <c r="O45" s="81"/>
    </row>
    <row r="46" spans="2:22" ht="13.5" customHeight="1" x14ac:dyDescent="0.35">
      <c r="B46" s="80" t="str">
        <f t="shared" si="2"/>
        <v>MIX1-B_1469-777_1-1_flua5_submittername</v>
      </c>
      <c r="C46" s="1" t="str">
        <f t="shared" si="3"/>
        <v>MIX1-B_1469-777_1-1_flua5_submittername.fa</v>
      </c>
      <c r="D46" s="110" t="s">
        <v>137</v>
      </c>
      <c r="E46" s="22" t="s">
        <v>60</v>
      </c>
      <c r="F46" s="22" t="s">
        <v>152</v>
      </c>
      <c r="G46" s="22"/>
      <c r="H46" s="23"/>
      <c r="I46" s="23"/>
      <c r="J46" s="23"/>
      <c r="O46" s="81"/>
    </row>
    <row r="47" spans="2:22" ht="13.5" customHeight="1" x14ac:dyDescent="0.35">
      <c r="B47" s="80" t="str">
        <f t="shared" si="2"/>
        <v>MIX1-B_1469-777_1-1_flua6_submittername</v>
      </c>
      <c r="C47" s="1" t="str">
        <f t="shared" si="3"/>
        <v>MIX1-B_1469-777_1-1_flua6_submittername.fa</v>
      </c>
      <c r="D47" s="110" t="s">
        <v>137</v>
      </c>
      <c r="E47" s="22" t="s">
        <v>62</v>
      </c>
      <c r="F47" s="22" t="s">
        <v>153</v>
      </c>
      <c r="G47" s="22"/>
      <c r="H47" s="23"/>
      <c r="I47" s="23"/>
      <c r="J47" s="23"/>
      <c r="O47" s="81"/>
    </row>
    <row r="48" spans="2:22" ht="13.5" customHeight="1" x14ac:dyDescent="0.35">
      <c r="B48" s="80" t="str">
        <f t="shared" si="2"/>
        <v>MIX1-B_1469-777_1-1_flua7_submittername</v>
      </c>
      <c r="C48" s="1" t="str">
        <f t="shared" si="3"/>
        <v>MIX1-B_1469-777_1-1_flua7_submittername.fa</v>
      </c>
      <c r="D48" s="110" t="s">
        <v>137</v>
      </c>
      <c r="E48" s="22" t="s">
        <v>64</v>
      </c>
      <c r="F48" s="22" t="s">
        <v>154</v>
      </c>
      <c r="G48" s="22"/>
      <c r="H48" s="23"/>
      <c r="I48" s="23"/>
      <c r="J48" s="23"/>
      <c r="O48" s="81"/>
    </row>
    <row r="49" spans="2:16" ht="13.5" customHeight="1" x14ac:dyDescent="0.35">
      <c r="B49" s="75" t="str">
        <f t="shared" si="2"/>
        <v>MIX1-B_1469-777_1-1_flua8_submittername</v>
      </c>
      <c r="C49" s="54" t="str">
        <f t="shared" si="3"/>
        <v>MIX1-B_1469-777_1-1_flua8_submittername.fa</v>
      </c>
      <c r="D49" s="55" t="s">
        <v>137</v>
      </c>
      <c r="E49" s="57" t="s">
        <v>66</v>
      </c>
      <c r="F49" s="57" t="s">
        <v>155</v>
      </c>
      <c r="G49" s="57"/>
      <c r="H49" s="58"/>
      <c r="I49" s="58"/>
      <c r="J49" s="58"/>
      <c r="K49" s="67"/>
      <c r="L49" s="67"/>
      <c r="M49" s="67"/>
      <c r="N49" s="67"/>
      <c r="O49" s="82"/>
    </row>
    <row r="50" spans="2:16" ht="13.5" customHeight="1" x14ac:dyDescent="0.4">
      <c r="B50" s="78" t="str">
        <f t="shared" si="2"/>
        <v>MIX1-C_1469-777_1-4_flua1_submittername</v>
      </c>
      <c r="C50" s="63" t="str">
        <f t="shared" si="3"/>
        <v>MIX1-C_1469-777_1-4_flua1_submittername.fa</v>
      </c>
      <c r="D50" s="64" t="s">
        <v>138</v>
      </c>
      <c r="E50" s="65" t="s">
        <v>51</v>
      </c>
      <c r="F50" s="65" t="s">
        <v>145</v>
      </c>
      <c r="G50" s="65"/>
      <c r="H50" s="66"/>
      <c r="I50" s="66"/>
      <c r="J50" s="66"/>
      <c r="K50" s="66"/>
      <c r="L50" s="66"/>
      <c r="M50" s="66"/>
      <c r="N50" s="66"/>
      <c r="O50" s="84"/>
      <c r="P50" s="23"/>
    </row>
    <row r="51" spans="2:16" ht="13.5" customHeight="1" x14ac:dyDescent="0.35">
      <c r="B51" s="80" t="str">
        <f t="shared" si="2"/>
        <v>MIX1-C_1469-777_1-4_flua2_submittername</v>
      </c>
      <c r="C51" s="1" t="str">
        <f t="shared" si="3"/>
        <v>MIX1-C_1469-777_1-4_flua2_submittername.fa</v>
      </c>
      <c r="D51" s="110" t="s">
        <v>138</v>
      </c>
      <c r="E51" s="22" t="s">
        <v>54</v>
      </c>
      <c r="F51" s="22" t="s">
        <v>149</v>
      </c>
      <c r="G51" s="22"/>
      <c r="H51" s="23"/>
      <c r="I51" s="23"/>
      <c r="J51" s="23"/>
      <c r="O51" s="81"/>
    </row>
    <row r="52" spans="2:16" ht="13.5" customHeight="1" x14ac:dyDescent="0.35">
      <c r="B52" s="80" t="str">
        <f t="shared" si="2"/>
        <v>MIX1-C_1469-777_1-4_flua3_submittername</v>
      </c>
      <c r="C52" s="1" t="str">
        <f t="shared" si="3"/>
        <v>MIX1-C_1469-777_1-4_flua3_submittername.fa</v>
      </c>
      <c r="D52" s="110" t="s">
        <v>138</v>
      </c>
      <c r="E52" s="22" t="s">
        <v>56</v>
      </c>
      <c r="F52" s="22" t="s">
        <v>150</v>
      </c>
      <c r="G52" s="22"/>
      <c r="H52" s="23"/>
      <c r="I52" s="23"/>
      <c r="J52" s="23"/>
      <c r="O52" s="81"/>
    </row>
    <row r="53" spans="2:16" ht="13.5" customHeight="1" x14ac:dyDescent="0.35">
      <c r="B53" s="80" t="str">
        <f t="shared" si="2"/>
        <v>MIX1-C_1469-777_1-4_flua4_submittername</v>
      </c>
      <c r="C53" s="1" t="str">
        <f t="shared" si="3"/>
        <v>MIX1-C_1469-777_1-4_flua4_submittername.fa</v>
      </c>
      <c r="D53" s="110" t="s">
        <v>138</v>
      </c>
      <c r="E53" s="22" t="s">
        <v>58</v>
      </c>
      <c r="F53" s="22" t="s">
        <v>151</v>
      </c>
      <c r="G53" s="22"/>
      <c r="H53" s="23"/>
      <c r="I53" s="23"/>
      <c r="J53" s="23"/>
      <c r="O53" s="81"/>
    </row>
    <row r="54" spans="2:16" ht="13.5" customHeight="1" x14ac:dyDescent="0.35">
      <c r="B54" s="80" t="str">
        <f t="shared" si="2"/>
        <v>MIX1-C_1469-777_1-4_flua5_submittername</v>
      </c>
      <c r="C54" s="1" t="str">
        <f t="shared" si="3"/>
        <v>MIX1-C_1469-777_1-4_flua5_submittername.fa</v>
      </c>
      <c r="D54" s="110" t="s">
        <v>138</v>
      </c>
      <c r="E54" s="22" t="s">
        <v>60</v>
      </c>
      <c r="F54" s="22" t="s">
        <v>152</v>
      </c>
      <c r="G54" s="22"/>
      <c r="H54" s="23"/>
      <c r="I54" s="23"/>
      <c r="J54" s="23"/>
      <c r="O54" s="81"/>
    </row>
    <row r="55" spans="2:16" ht="13.5" customHeight="1" x14ac:dyDescent="0.35">
      <c r="B55" s="80" t="str">
        <f t="shared" si="2"/>
        <v>MIX1-C_1469-777_1-4_flua6_submittername</v>
      </c>
      <c r="C55" s="1" t="str">
        <f t="shared" si="3"/>
        <v>MIX1-C_1469-777_1-4_flua6_submittername.fa</v>
      </c>
      <c r="D55" s="110" t="s">
        <v>138</v>
      </c>
      <c r="E55" s="22" t="s">
        <v>62</v>
      </c>
      <c r="F55" s="22" t="s">
        <v>153</v>
      </c>
      <c r="G55" s="22"/>
      <c r="H55" s="23"/>
      <c r="I55" s="23"/>
      <c r="J55" s="23"/>
      <c r="O55" s="81"/>
    </row>
    <row r="56" spans="2:16" ht="13.5" customHeight="1" x14ac:dyDescent="0.35">
      <c r="B56" s="80" t="str">
        <f t="shared" si="2"/>
        <v>MIX1-C_1469-777_1-4_flua7_submittername</v>
      </c>
      <c r="C56" s="1" t="str">
        <f t="shared" si="3"/>
        <v>MIX1-C_1469-777_1-4_flua7_submittername.fa</v>
      </c>
      <c r="D56" s="110" t="s">
        <v>138</v>
      </c>
      <c r="E56" s="22" t="s">
        <v>64</v>
      </c>
      <c r="F56" s="22" t="s">
        <v>154</v>
      </c>
      <c r="G56" s="22"/>
      <c r="H56" s="23"/>
      <c r="I56" s="23"/>
      <c r="J56" s="23"/>
      <c r="O56" s="81"/>
    </row>
    <row r="57" spans="2:16" ht="13.5" customHeight="1" x14ac:dyDescent="0.35">
      <c r="B57" s="75" t="str">
        <f t="shared" si="2"/>
        <v>MIX1-C_1469-777_1-4_flua8_submittername</v>
      </c>
      <c r="C57" s="54" t="str">
        <f t="shared" si="3"/>
        <v>MIX1-C_1469-777_1-4_flua8_submittername.fa</v>
      </c>
      <c r="D57" s="55" t="s">
        <v>138</v>
      </c>
      <c r="E57" s="57" t="s">
        <v>66</v>
      </c>
      <c r="F57" s="57" t="s">
        <v>155</v>
      </c>
      <c r="G57" s="57"/>
      <c r="H57" s="58"/>
      <c r="I57" s="58"/>
      <c r="J57" s="58"/>
      <c r="K57" s="67"/>
      <c r="L57" s="67"/>
      <c r="M57" s="67"/>
      <c r="N57" s="67"/>
      <c r="O57" s="82"/>
    </row>
    <row r="58" spans="2:16" ht="13.5" customHeight="1" x14ac:dyDescent="0.35">
      <c r="B58" s="78" t="str">
        <f t="shared" si="2"/>
        <v>MIX2-A_1540-3381_4-1_rsva_submittername</v>
      </c>
      <c r="C58" s="63" t="str">
        <f t="shared" si="3"/>
        <v>MIX2-A_1540-3381_4-1_rsva_submittername.fa</v>
      </c>
      <c r="D58" s="64" t="s">
        <v>139</v>
      </c>
      <c r="E58" s="68" t="s">
        <v>101</v>
      </c>
      <c r="F58" s="68" t="s">
        <v>156</v>
      </c>
      <c r="G58" s="65"/>
      <c r="H58" s="66"/>
      <c r="I58" s="66"/>
      <c r="J58" s="66"/>
      <c r="K58" s="69"/>
      <c r="L58" s="69"/>
      <c r="M58" s="69"/>
      <c r="N58" s="69"/>
      <c r="O58" s="85"/>
    </row>
    <row r="59" spans="2:16" ht="13.5" customHeight="1" x14ac:dyDescent="0.35">
      <c r="B59" s="80" t="str">
        <f t="shared" si="2"/>
        <v>MIX2-A_1540-3381_4-1_rsvb_submittername</v>
      </c>
      <c r="C59" s="1" t="str">
        <f t="shared" si="3"/>
        <v>MIX2-A_1540-3381_4-1_rsvb_submittername.fa</v>
      </c>
      <c r="D59" s="110" t="s">
        <v>139</v>
      </c>
      <c r="E59" s="111" t="s">
        <v>104</v>
      </c>
      <c r="F59" s="111" t="s">
        <v>157</v>
      </c>
      <c r="G59" s="22"/>
      <c r="H59" s="23"/>
      <c r="I59" s="23"/>
      <c r="J59" s="23"/>
      <c r="O59" s="81"/>
    </row>
    <row r="60" spans="2:16" ht="13.5" customHeight="1" x14ac:dyDescent="0.35">
      <c r="B60" s="80" t="str">
        <f t="shared" si="2"/>
        <v>MIX2-B_1540-3381_1-1_rsva_submittername</v>
      </c>
      <c r="C60" s="1" t="str">
        <f t="shared" si="3"/>
        <v>MIX2-B_1540-3381_1-1_rsva_submittername.fa</v>
      </c>
      <c r="D60" s="110" t="s">
        <v>140</v>
      </c>
      <c r="E60" s="111" t="s">
        <v>101</v>
      </c>
      <c r="F60" s="111" t="s">
        <v>156</v>
      </c>
      <c r="G60" s="22"/>
      <c r="H60" s="23"/>
      <c r="I60" s="23"/>
      <c r="J60" s="23"/>
      <c r="O60" s="81"/>
    </row>
    <row r="61" spans="2:16" ht="13.5" customHeight="1" x14ac:dyDescent="0.35">
      <c r="B61" s="80" t="str">
        <f t="shared" si="2"/>
        <v>MIX2-B_1540-3381_1-1_rsvb_submittername</v>
      </c>
      <c r="C61" s="1" t="str">
        <f t="shared" si="3"/>
        <v>MIX2-B_1540-3381_1-1_rsvb_submittername.fa</v>
      </c>
      <c r="D61" s="110" t="s">
        <v>140</v>
      </c>
      <c r="E61" s="111" t="s">
        <v>104</v>
      </c>
      <c r="F61" s="111" t="s">
        <v>157</v>
      </c>
      <c r="G61" s="22"/>
      <c r="H61" s="23"/>
      <c r="I61" s="23"/>
      <c r="J61" s="23"/>
      <c r="O61" s="81"/>
    </row>
    <row r="62" spans="2:16" ht="13.5" customHeight="1" x14ac:dyDescent="0.35">
      <c r="B62" s="80" t="str">
        <f t="shared" si="2"/>
        <v>MIX2-C_1540-3381_1-4_rsva_submittername</v>
      </c>
      <c r="C62" s="1" t="str">
        <f t="shared" si="3"/>
        <v>MIX2-C_1540-3381_1-4_rsva_submittername.fa</v>
      </c>
      <c r="D62" s="110" t="s">
        <v>141</v>
      </c>
      <c r="E62" s="111" t="s">
        <v>101</v>
      </c>
      <c r="F62" s="111" t="s">
        <v>156</v>
      </c>
      <c r="G62" s="22"/>
      <c r="H62" s="23"/>
      <c r="I62" s="23"/>
      <c r="J62" s="23"/>
      <c r="O62" s="81"/>
    </row>
    <row r="63" spans="2:16" ht="13.5" customHeight="1" x14ac:dyDescent="0.35">
      <c r="B63" s="80" t="str">
        <f t="shared" si="2"/>
        <v>MIX2-C_1540-3381_1-4_rsvb_submittername</v>
      </c>
      <c r="C63" s="1" t="str">
        <f t="shared" si="3"/>
        <v>MIX2-C_1540-3381_1-4_rsvb_submittername.fa</v>
      </c>
      <c r="D63" s="110" t="s">
        <v>141</v>
      </c>
      <c r="E63" s="111" t="s">
        <v>104</v>
      </c>
      <c r="F63" s="111" t="s">
        <v>157</v>
      </c>
      <c r="G63" s="22"/>
      <c r="H63" s="23"/>
      <c r="I63" s="23"/>
      <c r="J63" s="23"/>
      <c r="O63" s="81"/>
    </row>
    <row r="64" spans="2:16" ht="13.5" customHeight="1" x14ac:dyDescent="0.35">
      <c r="B64" s="75" t="str">
        <f t="shared" si="2"/>
        <v>MIX3-A_1540-1469_4-1_rsva_submittername</v>
      </c>
      <c r="C64" s="54" t="str">
        <f t="shared" si="3"/>
        <v>MIX3-A_1540-1469_4-1_rsva_submittername.fa</v>
      </c>
      <c r="D64" s="55" t="s">
        <v>142</v>
      </c>
      <c r="E64" s="70" t="s">
        <v>101</v>
      </c>
      <c r="F64" s="70" t="s">
        <v>156</v>
      </c>
      <c r="G64" s="57"/>
      <c r="H64" s="58"/>
      <c r="I64" s="58"/>
      <c r="J64" s="58"/>
      <c r="K64" s="67"/>
      <c r="L64" s="67"/>
      <c r="M64" s="67"/>
      <c r="N64" s="67"/>
      <c r="O64" s="82"/>
    </row>
    <row r="65" spans="2:15" ht="13.5" customHeight="1" x14ac:dyDescent="0.35">
      <c r="B65" s="78" t="str">
        <f t="shared" si="2"/>
        <v>MIX3-A_1540-1469_4-1_flua1_submittername</v>
      </c>
      <c r="C65" s="63" t="str">
        <f t="shared" si="3"/>
        <v>MIX3-A_1540-1469_4-1_flua1_submittername.fa</v>
      </c>
      <c r="D65" s="64" t="s">
        <v>142</v>
      </c>
      <c r="E65" s="65" t="s">
        <v>51</v>
      </c>
      <c r="F65" s="65" t="s">
        <v>145</v>
      </c>
      <c r="G65" s="65"/>
      <c r="H65" s="66"/>
      <c r="I65" s="66"/>
      <c r="J65" s="66"/>
      <c r="K65" s="69"/>
      <c r="L65" s="69"/>
      <c r="M65" s="69"/>
      <c r="N65" s="69"/>
      <c r="O65" s="85"/>
    </row>
    <row r="66" spans="2:15" ht="13.5" customHeight="1" x14ac:dyDescent="0.35">
      <c r="B66" s="80" t="str">
        <f t="shared" si="2"/>
        <v>MIX3-A_1540-1469_4-1_flua2_submittername</v>
      </c>
      <c r="C66" s="1" t="str">
        <f t="shared" si="3"/>
        <v>MIX3-A_1540-1469_4-1_flua2_submittername.fa</v>
      </c>
      <c r="D66" s="110" t="s">
        <v>142</v>
      </c>
      <c r="E66" s="22" t="s">
        <v>54</v>
      </c>
      <c r="F66" s="22" t="s">
        <v>149</v>
      </c>
      <c r="G66" s="22"/>
      <c r="H66" s="23"/>
      <c r="I66" s="23"/>
      <c r="J66" s="23"/>
      <c r="O66" s="81"/>
    </row>
    <row r="67" spans="2:15" ht="13.5" customHeight="1" x14ac:dyDescent="0.35">
      <c r="B67" s="80" t="str">
        <f t="shared" si="2"/>
        <v>MIX3-A_1540-1469_4-1_flua3_submittername</v>
      </c>
      <c r="C67" s="1" t="str">
        <f t="shared" si="3"/>
        <v>MIX3-A_1540-1469_4-1_flua3_submittername.fa</v>
      </c>
      <c r="D67" s="110" t="s">
        <v>142</v>
      </c>
      <c r="E67" s="22" t="s">
        <v>56</v>
      </c>
      <c r="F67" s="22" t="s">
        <v>150</v>
      </c>
      <c r="G67" s="22"/>
      <c r="H67" s="23"/>
      <c r="I67" s="23"/>
      <c r="J67" s="23"/>
      <c r="O67" s="81"/>
    </row>
    <row r="68" spans="2:15" ht="13.5" customHeight="1" x14ac:dyDescent="0.35">
      <c r="B68" s="80" t="str">
        <f t="shared" si="2"/>
        <v>MIX3-A_1540-1469_4-1_flua4_submittername</v>
      </c>
      <c r="C68" s="1" t="str">
        <f t="shared" si="3"/>
        <v>MIX3-A_1540-1469_4-1_flua4_submittername.fa</v>
      </c>
      <c r="D68" s="110" t="s">
        <v>142</v>
      </c>
      <c r="E68" s="22" t="s">
        <v>58</v>
      </c>
      <c r="F68" s="22" t="s">
        <v>151</v>
      </c>
      <c r="G68" s="22"/>
      <c r="H68" s="23"/>
      <c r="I68" s="23"/>
      <c r="J68" s="23"/>
      <c r="O68" s="81"/>
    </row>
    <row r="69" spans="2:15" ht="13.5" customHeight="1" x14ac:dyDescent="0.35">
      <c r="B69" s="80" t="str">
        <f t="shared" si="2"/>
        <v>MIX3-A_1540-1469_4-1_flua5_submittername</v>
      </c>
      <c r="C69" s="1" t="str">
        <f t="shared" si="3"/>
        <v>MIX3-A_1540-1469_4-1_flua5_submittername.fa</v>
      </c>
      <c r="D69" s="110" t="s">
        <v>142</v>
      </c>
      <c r="E69" s="22" t="s">
        <v>60</v>
      </c>
      <c r="F69" s="22" t="s">
        <v>152</v>
      </c>
      <c r="G69" s="22"/>
      <c r="H69" s="23"/>
      <c r="I69" s="23"/>
      <c r="J69" s="23"/>
      <c r="O69" s="81"/>
    </row>
    <row r="70" spans="2:15" ht="13.5" customHeight="1" x14ac:dyDescent="0.35">
      <c r="B70" s="80" t="str">
        <f t="shared" si="2"/>
        <v>MIX3-A_1540-1469_4-1_flua6_submittername</v>
      </c>
      <c r="C70" s="1" t="str">
        <f t="shared" si="3"/>
        <v>MIX3-A_1540-1469_4-1_flua6_submittername.fa</v>
      </c>
      <c r="D70" s="110" t="s">
        <v>142</v>
      </c>
      <c r="E70" s="22" t="s">
        <v>62</v>
      </c>
      <c r="F70" s="22" t="s">
        <v>153</v>
      </c>
      <c r="G70" s="22"/>
      <c r="H70" s="23"/>
      <c r="I70" s="23"/>
      <c r="J70" s="23"/>
      <c r="O70" s="81"/>
    </row>
    <row r="71" spans="2:15" ht="13.5" customHeight="1" x14ac:dyDescent="0.35">
      <c r="B71" s="80" t="str">
        <f t="shared" si="2"/>
        <v>MIX3-A_1540-1469_4-1_flua7_submittername</v>
      </c>
      <c r="C71" s="1" t="str">
        <f t="shared" si="3"/>
        <v>MIX3-A_1540-1469_4-1_flua7_submittername.fa</v>
      </c>
      <c r="D71" s="110" t="s">
        <v>142</v>
      </c>
      <c r="E71" s="22" t="s">
        <v>64</v>
      </c>
      <c r="F71" s="22" t="s">
        <v>154</v>
      </c>
      <c r="G71" s="22"/>
      <c r="H71" s="23"/>
      <c r="I71" s="23"/>
      <c r="J71" s="23"/>
      <c r="O71" s="81"/>
    </row>
    <row r="72" spans="2:15" ht="13.5" customHeight="1" x14ac:dyDescent="0.35">
      <c r="B72" s="75" t="str">
        <f t="shared" si="2"/>
        <v>MIX3-A_1540-1469_4-1_flua8_submittername</v>
      </c>
      <c r="C72" s="54" t="str">
        <f t="shared" si="3"/>
        <v>MIX3-A_1540-1469_4-1_flua8_submittername.fa</v>
      </c>
      <c r="D72" s="55" t="s">
        <v>142</v>
      </c>
      <c r="E72" s="57" t="s">
        <v>66</v>
      </c>
      <c r="F72" s="57" t="s">
        <v>155</v>
      </c>
      <c r="G72" s="57"/>
      <c r="H72" s="58"/>
      <c r="I72" s="58"/>
      <c r="J72" s="58"/>
      <c r="K72" s="54"/>
      <c r="L72" s="54"/>
      <c r="M72" s="54"/>
      <c r="N72" s="54"/>
      <c r="O72" s="82"/>
    </row>
    <row r="73" spans="2:15" ht="13.5" customHeight="1" x14ac:dyDescent="0.35">
      <c r="B73" s="78" t="str">
        <f t="shared" si="2"/>
        <v>MIX3-B_1540-1469_1-1_rsva_submittername</v>
      </c>
      <c r="C73" s="63" t="str">
        <f t="shared" si="3"/>
        <v>MIX3-B_1540-1469_1-1_rsva_submittername.fa</v>
      </c>
      <c r="D73" s="64" t="s">
        <v>143</v>
      </c>
      <c r="E73" s="68" t="s">
        <v>101</v>
      </c>
      <c r="F73" s="65" t="s">
        <v>156</v>
      </c>
      <c r="G73" s="65"/>
      <c r="H73" s="66"/>
      <c r="I73" s="66"/>
      <c r="J73" s="66"/>
      <c r="K73" s="69"/>
      <c r="L73" s="69"/>
      <c r="M73" s="69"/>
      <c r="N73" s="69"/>
      <c r="O73" s="85"/>
    </row>
    <row r="74" spans="2:15" ht="13.5" customHeight="1" x14ac:dyDescent="0.35">
      <c r="B74" s="80" t="str">
        <f t="shared" si="2"/>
        <v>MIX3-B_1540-1469_1-1_flua1_submittername</v>
      </c>
      <c r="C74" s="1" t="str">
        <f t="shared" si="3"/>
        <v>MIX3-B_1540-1469_1-1_flua1_submittername.fa</v>
      </c>
      <c r="D74" s="110" t="s">
        <v>143</v>
      </c>
      <c r="E74" s="22" t="s">
        <v>51</v>
      </c>
      <c r="F74" s="22" t="s">
        <v>145</v>
      </c>
      <c r="G74" s="22"/>
      <c r="H74" s="23"/>
      <c r="I74" s="23"/>
      <c r="J74" s="23"/>
      <c r="O74" s="81"/>
    </row>
    <row r="75" spans="2:15" ht="13.5" customHeight="1" x14ac:dyDescent="0.35">
      <c r="B75" s="80" t="str">
        <f t="shared" ref="B75:B98" si="4">D75 &amp; "_" &amp; F75 &amp; "_" &amp; B$5</f>
        <v>MIX3-B_1540-1469_1-1_flua2_submittername</v>
      </c>
      <c r="C75" s="1" t="str">
        <f t="shared" ref="C75:C98" si="5">D75 &amp; "_" &amp; F75 &amp; "_" &amp; B$5 &amp; "." &amp; C$5</f>
        <v>MIX3-B_1540-1469_1-1_flua2_submittername.fa</v>
      </c>
      <c r="D75" s="110" t="s">
        <v>143</v>
      </c>
      <c r="E75" s="22" t="s">
        <v>54</v>
      </c>
      <c r="F75" s="22" t="s">
        <v>149</v>
      </c>
      <c r="G75" s="22"/>
      <c r="H75" s="23"/>
      <c r="I75" s="23"/>
      <c r="J75" s="23"/>
      <c r="O75" s="81"/>
    </row>
    <row r="76" spans="2:15" ht="13.5" customHeight="1" x14ac:dyDescent="0.35">
      <c r="B76" s="80" t="str">
        <f t="shared" si="4"/>
        <v>MIX3-B_1540-1469_1-1_flua3_submittername</v>
      </c>
      <c r="C76" s="1" t="str">
        <f t="shared" si="5"/>
        <v>MIX3-B_1540-1469_1-1_flua3_submittername.fa</v>
      </c>
      <c r="D76" s="110" t="s">
        <v>143</v>
      </c>
      <c r="E76" s="22" t="s">
        <v>56</v>
      </c>
      <c r="F76" s="22" t="s">
        <v>150</v>
      </c>
      <c r="G76" s="22"/>
      <c r="H76" s="23"/>
      <c r="I76" s="23"/>
      <c r="J76" s="23"/>
      <c r="O76" s="81"/>
    </row>
    <row r="77" spans="2:15" ht="13.5" customHeight="1" x14ac:dyDescent="0.35">
      <c r="B77" s="80" t="str">
        <f t="shared" si="4"/>
        <v>MIX3-B_1540-1469_1-1_flua4_submittername</v>
      </c>
      <c r="C77" s="1" t="str">
        <f t="shared" si="5"/>
        <v>MIX3-B_1540-1469_1-1_flua4_submittername.fa</v>
      </c>
      <c r="D77" s="110" t="s">
        <v>143</v>
      </c>
      <c r="E77" s="22" t="s">
        <v>58</v>
      </c>
      <c r="F77" s="22" t="s">
        <v>151</v>
      </c>
      <c r="G77" s="22"/>
      <c r="H77" s="23"/>
      <c r="I77" s="23"/>
      <c r="J77" s="23"/>
      <c r="O77" s="81"/>
    </row>
    <row r="78" spans="2:15" ht="13.5" customHeight="1" x14ac:dyDescent="0.35">
      <c r="B78" s="80" t="str">
        <f t="shared" si="4"/>
        <v>MIX3-B_1540-1469_1-1_flua5_submittername</v>
      </c>
      <c r="C78" s="1" t="str">
        <f t="shared" si="5"/>
        <v>MIX3-B_1540-1469_1-1_flua5_submittername.fa</v>
      </c>
      <c r="D78" s="110" t="s">
        <v>143</v>
      </c>
      <c r="E78" s="22" t="s">
        <v>60</v>
      </c>
      <c r="F78" s="22" t="s">
        <v>152</v>
      </c>
      <c r="G78" s="22"/>
      <c r="H78" s="23"/>
      <c r="I78" s="23"/>
      <c r="J78" s="23"/>
      <c r="O78" s="81"/>
    </row>
    <row r="79" spans="2:15" ht="13.5" customHeight="1" x14ac:dyDescent="0.35">
      <c r="B79" s="80" t="str">
        <f t="shared" si="4"/>
        <v>MIX3-B_1540-1469_1-1_flua6_submittername</v>
      </c>
      <c r="C79" s="1" t="str">
        <f t="shared" si="5"/>
        <v>MIX3-B_1540-1469_1-1_flua6_submittername.fa</v>
      </c>
      <c r="D79" s="110" t="s">
        <v>143</v>
      </c>
      <c r="E79" s="22" t="s">
        <v>62</v>
      </c>
      <c r="F79" s="22" t="s">
        <v>153</v>
      </c>
      <c r="G79" s="22"/>
      <c r="H79" s="23"/>
      <c r="I79" s="23"/>
      <c r="J79" s="23"/>
      <c r="O79" s="81"/>
    </row>
    <row r="80" spans="2:15" ht="13.5" customHeight="1" x14ac:dyDescent="0.35">
      <c r="B80" s="80" t="str">
        <f t="shared" si="4"/>
        <v>MIX3-B_1540-1469_1-1_flua7_submittername</v>
      </c>
      <c r="C80" s="1" t="str">
        <f t="shared" si="5"/>
        <v>MIX3-B_1540-1469_1-1_flua7_submittername.fa</v>
      </c>
      <c r="D80" s="110" t="s">
        <v>143</v>
      </c>
      <c r="E80" s="22" t="s">
        <v>64</v>
      </c>
      <c r="F80" s="22" t="s">
        <v>154</v>
      </c>
      <c r="G80" s="22"/>
      <c r="H80" s="23"/>
      <c r="I80" s="23"/>
      <c r="J80" s="23"/>
      <c r="O80" s="81"/>
    </row>
    <row r="81" spans="2:15" ht="13.5" customHeight="1" x14ac:dyDescent="0.35">
      <c r="B81" s="75" t="str">
        <f t="shared" si="4"/>
        <v>MIX3-B_1540-1469_1-1_flua8_submittername</v>
      </c>
      <c r="C81" s="54" t="str">
        <f t="shared" si="5"/>
        <v>MIX3-B_1540-1469_1-1_flua8_submittername.fa</v>
      </c>
      <c r="D81" s="55" t="s">
        <v>143</v>
      </c>
      <c r="E81" s="57" t="s">
        <v>66</v>
      </c>
      <c r="F81" s="57" t="s">
        <v>155</v>
      </c>
      <c r="G81" s="57"/>
      <c r="H81" s="58"/>
      <c r="I81" s="58"/>
      <c r="J81" s="58"/>
      <c r="K81" s="54"/>
      <c r="L81" s="54"/>
      <c r="M81" s="54"/>
      <c r="N81" s="54"/>
      <c r="O81" s="82"/>
    </row>
    <row r="82" spans="2:15" ht="13.5" customHeight="1" x14ac:dyDescent="0.35">
      <c r="B82" s="78" t="str">
        <f t="shared" si="4"/>
        <v>MIX3-C_1540-1469_1-4_rsva_submittername</v>
      </c>
      <c r="C82" s="63" t="str">
        <f t="shared" si="5"/>
        <v>MIX3-C_1540-1469_1-4_rsva_submittername.fa</v>
      </c>
      <c r="D82" s="64" t="s">
        <v>144</v>
      </c>
      <c r="E82" s="68" t="s">
        <v>101</v>
      </c>
      <c r="F82" s="65" t="s">
        <v>156</v>
      </c>
      <c r="G82" s="65"/>
      <c r="H82" s="66"/>
      <c r="I82" s="66"/>
      <c r="J82" s="66"/>
      <c r="K82" s="69"/>
      <c r="L82" s="69"/>
      <c r="M82" s="69"/>
      <c r="N82" s="69"/>
      <c r="O82" s="85"/>
    </row>
    <row r="83" spans="2:15" ht="13.5" customHeight="1" x14ac:dyDescent="0.35">
      <c r="B83" s="80" t="str">
        <f t="shared" si="4"/>
        <v>MIX3-C_1540-1469_1-4_flua1_submittername</v>
      </c>
      <c r="C83" s="1" t="str">
        <f t="shared" si="5"/>
        <v>MIX3-C_1540-1469_1-4_flua1_submittername.fa</v>
      </c>
      <c r="D83" s="110" t="s">
        <v>144</v>
      </c>
      <c r="E83" s="22" t="s">
        <v>51</v>
      </c>
      <c r="F83" s="22" t="s">
        <v>145</v>
      </c>
      <c r="G83" s="22"/>
      <c r="H83" s="23"/>
      <c r="I83" s="23"/>
      <c r="J83" s="23"/>
      <c r="O83" s="81"/>
    </row>
    <row r="84" spans="2:15" ht="13.5" customHeight="1" x14ac:dyDescent="0.35">
      <c r="B84" s="80" t="str">
        <f t="shared" si="4"/>
        <v>MIX3-C_1540-1469_1-4_flua2_submittername</v>
      </c>
      <c r="C84" s="1" t="str">
        <f t="shared" si="5"/>
        <v>MIX3-C_1540-1469_1-4_flua2_submittername.fa</v>
      </c>
      <c r="D84" s="110" t="s">
        <v>144</v>
      </c>
      <c r="E84" s="22" t="s">
        <v>54</v>
      </c>
      <c r="F84" s="22" t="s">
        <v>149</v>
      </c>
      <c r="G84" s="22"/>
      <c r="H84" s="23"/>
      <c r="I84" s="23"/>
      <c r="J84" s="23"/>
      <c r="O84" s="81"/>
    </row>
    <row r="85" spans="2:15" ht="13.5" customHeight="1" x14ac:dyDescent="0.35">
      <c r="B85" s="80" t="str">
        <f t="shared" si="4"/>
        <v>MIX3-C_1540-1469_1-4_flua3_submittername</v>
      </c>
      <c r="C85" s="1" t="str">
        <f t="shared" si="5"/>
        <v>MIX3-C_1540-1469_1-4_flua3_submittername.fa</v>
      </c>
      <c r="D85" s="110" t="s">
        <v>144</v>
      </c>
      <c r="E85" s="22" t="s">
        <v>56</v>
      </c>
      <c r="F85" s="22" t="s">
        <v>150</v>
      </c>
      <c r="G85" s="22"/>
      <c r="H85" s="23"/>
      <c r="I85" s="23"/>
      <c r="J85" s="23"/>
      <c r="O85" s="81"/>
    </row>
    <row r="86" spans="2:15" ht="13.5" customHeight="1" x14ac:dyDescent="0.35">
      <c r="B86" s="80" t="str">
        <f t="shared" si="4"/>
        <v>MIX3-C_1540-1469_1-4_flua4_submittername</v>
      </c>
      <c r="C86" s="1" t="str">
        <f t="shared" si="5"/>
        <v>MIX3-C_1540-1469_1-4_flua4_submittername.fa</v>
      </c>
      <c r="D86" s="110" t="s">
        <v>144</v>
      </c>
      <c r="E86" s="22" t="s">
        <v>58</v>
      </c>
      <c r="F86" s="22" t="s">
        <v>151</v>
      </c>
      <c r="G86" s="22"/>
      <c r="H86" s="23"/>
      <c r="J86" s="23"/>
      <c r="O86" s="81"/>
    </row>
    <row r="87" spans="2:15" ht="13.5" customHeight="1" x14ac:dyDescent="0.35">
      <c r="B87" s="80" t="str">
        <f t="shared" si="4"/>
        <v>MIX3-C_1540-1469_1-4_flua5_submittername</v>
      </c>
      <c r="C87" s="1" t="str">
        <f t="shared" si="5"/>
        <v>MIX3-C_1540-1469_1-4_flua5_submittername.fa</v>
      </c>
      <c r="D87" s="110" t="s">
        <v>144</v>
      </c>
      <c r="E87" s="22" t="s">
        <v>60</v>
      </c>
      <c r="F87" s="22" t="s">
        <v>152</v>
      </c>
      <c r="G87" s="22"/>
      <c r="H87" s="23"/>
      <c r="J87" s="23"/>
      <c r="O87" s="81"/>
    </row>
    <row r="88" spans="2:15" ht="13.5" customHeight="1" x14ac:dyDescent="0.35">
      <c r="B88" s="80" t="str">
        <f t="shared" si="4"/>
        <v>MIX3-C_1540-1469_1-4_flua6_submittername</v>
      </c>
      <c r="C88" s="1" t="str">
        <f t="shared" si="5"/>
        <v>MIX3-C_1540-1469_1-4_flua6_submittername.fa</v>
      </c>
      <c r="D88" s="110" t="s">
        <v>144</v>
      </c>
      <c r="E88" s="22" t="s">
        <v>62</v>
      </c>
      <c r="F88" s="22" t="s">
        <v>153</v>
      </c>
      <c r="G88" s="22"/>
      <c r="H88" s="23"/>
      <c r="J88" s="23"/>
      <c r="O88" s="81"/>
    </row>
    <row r="89" spans="2:15" ht="13.5" customHeight="1" x14ac:dyDescent="0.35">
      <c r="B89" s="80" t="str">
        <f t="shared" si="4"/>
        <v>MIX3-C_1540-1469_1-4_flua7_submittername</v>
      </c>
      <c r="C89" s="1" t="str">
        <f t="shared" si="5"/>
        <v>MIX3-C_1540-1469_1-4_flua7_submittername.fa</v>
      </c>
      <c r="D89" s="110" t="s">
        <v>144</v>
      </c>
      <c r="E89" s="22" t="s">
        <v>64</v>
      </c>
      <c r="F89" s="22" t="s">
        <v>154</v>
      </c>
      <c r="G89" s="22"/>
      <c r="H89" s="23"/>
      <c r="J89" s="23"/>
      <c r="O89" s="81"/>
    </row>
    <row r="90" spans="2:15" ht="13.5" customHeight="1" x14ac:dyDescent="0.35">
      <c r="B90" s="75" t="str">
        <f t="shared" si="4"/>
        <v>MIX3-C_1540-1469_1-4_flua8_submittername</v>
      </c>
      <c r="C90" s="54" t="str">
        <f t="shared" si="5"/>
        <v>MIX3-C_1540-1469_1-4_flua8_submittername.fa</v>
      </c>
      <c r="D90" s="55" t="s">
        <v>144</v>
      </c>
      <c r="E90" s="57" t="s">
        <v>66</v>
      </c>
      <c r="F90" s="57" t="s">
        <v>155</v>
      </c>
      <c r="G90" s="57"/>
      <c r="H90" s="58"/>
      <c r="I90" s="54"/>
      <c r="J90" s="58"/>
      <c r="K90" s="54"/>
      <c r="L90" s="54"/>
      <c r="M90" s="54"/>
      <c r="N90" s="54"/>
      <c r="O90" s="82"/>
    </row>
    <row r="91" spans="2:15" ht="15.75" customHeight="1" x14ac:dyDescent="0.35">
      <c r="B91" s="78" t="str">
        <f t="shared" si="4"/>
        <v>MIX4-A_1469-777_4-1_flua1_submittername</v>
      </c>
      <c r="C91" s="63" t="str">
        <f t="shared" si="5"/>
        <v>MIX4-A_1469-777_4-1_flua1_submittername.fa</v>
      </c>
      <c r="D91" s="64" t="s">
        <v>182</v>
      </c>
      <c r="E91" s="65" t="s">
        <v>51</v>
      </c>
      <c r="F91" s="65" t="s">
        <v>145</v>
      </c>
      <c r="G91" s="69"/>
      <c r="H91" s="69"/>
      <c r="I91" s="69"/>
      <c r="J91" s="69"/>
      <c r="K91" s="69"/>
      <c r="L91" s="69"/>
      <c r="M91" s="69"/>
      <c r="N91" s="69"/>
      <c r="O91" s="120"/>
    </row>
    <row r="92" spans="2:15" ht="15.75" customHeight="1" x14ac:dyDescent="0.35">
      <c r="B92" s="80" t="str">
        <f t="shared" si="4"/>
        <v>MIX4-A_1469-777_4-1_flua2_submittername</v>
      </c>
      <c r="C92" s="1" t="str">
        <f t="shared" si="5"/>
        <v>MIX4-A_1469-777_4-1_flua2_submittername.fa</v>
      </c>
      <c r="D92" s="110" t="s">
        <v>182</v>
      </c>
      <c r="E92" s="22" t="s">
        <v>54</v>
      </c>
      <c r="F92" s="22" t="s">
        <v>149</v>
      </c>
      <c r="O92" s="121"/>
    </row>
    <row r="93" spans="2:15" ht="15.75" customHeight="1" x14ac:dyDescent="0.35">
      <c r="B93" s="80" t="str">
        <f t="shared" si="4"/>
        <v>MIX4-A_1469-777_4-1_flua3_submittername</v>
      </c>
      <c r="C93" s="1" t="str">
        <f t="shared" si="5"/>
        <v>MIX4-A_1469-777_4-1_flua3_submittername.fa</v>
      </c>
      <c r="D93" s="110" t="s">
        <v>182</v>
      </c>
      <c r="E93" s="22" t="s">
        <v>56</v>
      </c>
      <c r="F93" s="22" t="s">
        <v>150</v>
      </c>
      <c r="O93" s="121"/>
    </row>
    <row r="94" spans="2:15" ht="15.75" customHeight="1" x14ac:dyDescent="0.35">
      <c r="B94" s="80" t="str">
        <f t="shared" si="4"/>
        <v>MIX4-A_1469-777_4-1_flua4_submittername</v>
      </c>
      <c r="C94" s="1" t="str">
        <f t="shared" si="5"/>
        <v>MIX4-A_1469-777_4-1_flua4_submittername.fa</v>
      </c>
      <c r="D94" s="110" t="s">
        <v>182</v>
      </c>
      <c r="E94" s="22" t="s">
        <v>58</v>
      </c>
      <c r="F94" s="22" t="s">
        <v>151</v>
      </c>
      <c r="O94" s="121"/>
    </row>
    <row r="95" spans="2:15" ht="15.75" customHeight="1" x14ac:dyDescent="0.35">
      <c r="B95" s="80" t="str">
        <f t="shared" si="4"/>
        <v>MIX4-A_1469-777_4-1_flua5_submittername</v>
      </c>
      <c r="C95" s="1" t="str">
        <f t="shared" si="5"/>
        <v>MIX4-A_1469-777_4-1_flua5_submittername.fa</v>
      </c>
      <c r="D95" s="110" t="s">
        <v>182</v>
      </c>
      <c r="E95" s="22" t="s">
        <v>60</v>
      </c>
      <c r="F95" s="22" t="s">
        <v>152</v>
      </c>
      <c r="O95" s="121"/>
    </row>
    <row r="96" spans="2:15" ht="15.75" customHeight="1" x14ac:dyDescent="0.35">
      <c r="B96" s="80" t="str">
        <f t="shared" si="4"/>
        <v>MIX4-A_1469-777_4-1_flua6_submittername</v>
      </c>
      <c r="C96" s="1" t="str">
        <f t="shared" si="5"/>
        <v>MIX4-A_1469-777_4-1_flua6_submittername.fa</v>
      </c>
      <c r="D96" s="110" t="s">
        <v>182</v>
      </c>
      <c r="E96" s="22" t="s">
        <v>62</v>
      </c>
      <c r="F96" s="22" t="s">
        <v>153</v>
      </c>
      <c r="O96" s="121"/>
    </row>
    <row r="97" spans="2:15" ht="15.75" customHeight="1" x14ac:dyDescent="0.35">
      <c r="B97" s="80" t="str">
        <f t="shared" si="4"/>
        <v>MIX4-A_1469-777_4-1_flua7_submittername</v>
      </c>
      <c r="C97" s="1" t="str">
        <f t="shared" si="5"/>
        <v>MIX4-A_1469-777_4-1_flua7_submittername.fa</v>
      </c>
      <c r="D97" s="110" t="s">
        <v>182</v>
      </c>
      <c r="E97" s="22" t="s">
        <v>64</v>
      </c>
      <c r="F97" s="22" t="s">
        <v>154</v>
      </c>
      <c r="O97" s="121"/>
    </row>
    <row r="98" spans="2:15" ht="15.75" customHeight="1" x14ac:dyDescent="0.35">
      <c r="B98" s="75" t="str">
        <f t="shared" si="4"/>
        <v>MIX4-A_1469-777_4-1_flua8_submittername</v>
      </c>
      <c r="C98" s="54" t="str">
        <f t="shared" si="5"/>
        <v>MIX4-A_1469-777_4-1_flua8_submittername.fa</v>
      </c>
      <c r="D98" s="55" t="s">
        <v>182</v>
      </c>
      <c r="E98" s="57" t="s">
        <v>66</v>
      </c>
      <c r="F98" s="57" t="s">
        <v>155</v>
      </c>
      <c r="G98" s="67"/>
      <c r="H98" s="67"/>
      <c r="I98" s="67"/>
      <c r="J98" s="67"/>
      <c r="K98" s="67"/>
      <c r="L98" s="67"/>
      <c r="M98" s="67"/>
      <c r="N98" s="67"/>
      <c r="O98" s="122"/>
    </row>
    <row r="99" spans="2:15" ht="15.75" customHeight="1" x14ac:dyDescent="0.35">
      <c r="B99" s="78" t="str">
        <f t="shared" ref="B99:B106" si="6">D99 &amp; "_" &amp; F99 &amp; "_" &amp; B$5</f>
        <v>MIX4-B_1469-777_1-1_flua1_submittername</v>
      </c>
      <c r="C99" s="63" t="str">
        <f t="shared" ref="C99:C106" si="7">D99 &amp; "_" &amp; F99 &amp; "_" &amp; B$5 &amp; "." &amp; C$5</f>
        <v>MIX4-B_1469-777_1-1_flua1_submittername.fa</v>
      </c>
      <c r="D99" s="64" t="s">
        <v>178</v>
      </c>
      <c r="E99" s="65" t="s">
        <v>51</v>
      </c>
      <c r="F99" s="65" t="s">
        <v>145</v>
      </c>
      <c r="G99" s="69"/>
      <c r="H99" s="69"/>
      <c r="I99" s="69"/>
      <c r="J99" s="69"/>
      <c r="K99" s="69"/>
      <c r="L99" s="69"/>
      <c r="M99" s="69"/>
      <c r="N99" s="69"/>
      <c r="O99" s="120"/>
    </row>
    <row r="100" spans="2:15" ht="15.75" customHeight="1" x14ac:dyDescent="0.35">
      <c r="B100" s="80" t="str">
        <f t="shared" si="6"/>
        <v>MIX4-B_1469-777_1-1_flua2_submittername</v>
      </c>
      <c r="C100" s="1" t="str">
        <f t="shared" si="7"/>
        <v>MIX4-B_1469-777_1-1_flua2_submittername.fa</v>
      </c>
      <c r="D100" s="110" t="s">
        <v>178</v>
      </c>
      <c r="E100" s="22" t="s">
        <v>54</v>
      </c>
      <c r="F100" s="22" t="s">
        <v>149</v>
      </c>
      <c r="O100" s="121"/>
    </row>
    <row r="101" spans="2:15" ht="15.75" customHeight="1" x14ac:dyDescent="0.35">
      <c r="B101" s="80" t="str">
        <f t="shared" si="6"/>
        <v>MIX4-B_1469-777_1-1_flua3_submittername</v>
      </c>
      <c r="C101" s="1" t="str">
        <f t="shared" si="7"/>
        <v>MIX4-B_1469-777_1-1_flua3_submittername.fa</v>
      </c>
      <c r="D101" s="110" t="s">
        <v>178</v>
      </c>
      <c r="E101" s="22" t="s">
        <v>56</v>
      </c>
      <c r="F101" s="22" t="s">
        <v>150</v>
      </c>
      <c r="O101" s="121"/>
    </row>
    <row r="102" spans="2:15" ht="15.75" customHeight="1" x14ac:dyDescent="0.35">
      <c r="B102" s="80" t="str">
        <f t="shared" si="6"/>
        <v>MIX4-B_1469-777_1-1_flua4_submittername</v>
      </c>
      <c r="C102" s="1" t="str">
        <f t="shared" si="7"/>
        <v>MIX4-B_1469-777_1-1_flua4_submittername.fa</v>
      </c>
      <c r="D102" s="110" t="s">
        <v>178</v>
      </c>
      <c r="E102" s="22" t="s">
        <v>58</v>
      </c>
      <c r="F102" s="22" t="s">
        <v>151</v>
      </c>
      <c r="O102" s="121"/>
    </row>
    <row r="103" spans="2:15" ht="15.75" customHeight="1" x14ac:dyDescent="0.35">
      <c r="B103" s="80" t="str">
        <f t="shared" si="6"/>
        <v>MIX4-B_1469-777_1-1_flua5_submittername</v>
      </c>
      <c r="C103" s="1" t="str">
        <f t="shared" si="7"/>
        <v>MIX4-B_1469-777_1-1_flua5_submittername.fa</v>
      </c>
      <c r="D103" s="110" t="s">
        <v>178</v>
      </c>
      <c r="E103" s="22" t="s">
        <v>60</v>
      </c>
      <c r="F103" s="22" t="s">
        <v>152</v>
      </c>
      <c r="O103" s="121"/>
    </row>
    <row r="104" spans="2:15" ht="15.75" customHeight="1" x14ac:dyDescent="0.35">
      <c r="B104" s="80" t="str">
        <f t="shared" si="6"/>
        <v>MIX4-B_1469-777_1-1_flua6_submittername</v>
      </c>
      <c r="C104" s="1" t="str">
        <f t="shared" si="7"/>
        <v>MIX4-B_1469-777_1-1_flua6_submittername.fa</v>
      </c>
      <c r="D104" s="110" t="s">
        <v>178</v>
      </c>
      <c r="E104" s="22" t="s">
        <v>62</v>
      </c>
      <c r="F104" s="22" t="s">
        <v>153</v>
      </c>
      <c r="O104" s="121"/>
    </row>
    <row r="105" spans="2:15" ht="15.75" customHeight="1" x14ac:dyDescent="0.35">
      <c r="B105" s="80" t="str">
        <f t="shared" si="6"/>
        <v>MIX4-B_1469-777_1-1_flua7_submittername</v>
      </c>
      <c r="C105" s="1" t="str">
        <f t="shared" si="7"/>
        <v>MIX4-B_1469-777_1-1_flua7_submittername.fa</v>
      </c>
      <c r="D105" s="110" t="s">
        <v>178</v>
      </c>
      <c r="E105" s="22" t="s">
        <v>64</v>
      </c>
      <c r="F105" s="22" t="s">
        <v>154</v>
      </c>
      <c r="O105" s="121"/>
    </row>
    <row r="106" spans="2:15" ht="15.75" customHeight="1" x14ac:dyDescent="0.35">
      <c r="B106" s="75" t="str">
        <f t="shared" si="6"/>
        <v>MIX4-B_1469-777_1-1_flua8_submittername</v>
      </c>
      <c r="C106" s="54" t="str">
        <f t="shared" si="7"/>
        <v>MIX4-B_1469-777_1-1_flua8_submittername.fa</v>
      </c>
      <c r="D106" s="55" t="s">
        <v>178</v>
      </c>
      <c r="E106" s="57" t="s">
        <v>66</v>
      </c>
      <c r="F106" s="57" t="s">
        <v>155</v>
      </c>
      <c r="G106" s="67"/>
      <c r="H106" s="67"/>
      <c r="I106" s="67"/>
      <c r="J106" s="67"/>
      <c r="K106" s="67"/>
      <c r="L106" s="67"/>
      <c r="M106" s="67"/>
      <c r="N106" s="67"/>
      <c r="O106" s="122"/>
    </row>
    <row r="107" spans="2:15" ht="15.75" customHeight="1" x14ac:dyDescent="0.35">
      <c r="B107" s="78" t="str">
        <f t="shared" ref="B107:B123" si="8">D107 &amp; "_" &amp; F107 &amp; "_" &amp; B$5</f>
        <v>MIX4-C_1469-777_1-1_flua1_submittername</v>
      </c>
      <c r="C107" s="63" t="str">
        <f t="shared" ref="C107:C123" si="9">D107 &amp; "_" &amp; F107 &amp; "_" &amp; B$5 &amp; "." &amp; C$5</f>
        <v>MIX4-C_1469-777_1-1_flua1_submittername.fa</v>
      </c>
      <c r="D107" s="64" t="s">
        <v>303</v>
      </c>
      <c r="E107" s="65" t="s">
        <v>51</v>
      </c>
      <c r="F107" s="65" t="s">
        <v>145</v>
      </c>
      <c r="G107" s="69"/>
      <c r="H107" s="69"/>
      <c r="I107" s="69"/>
      <c r="J107" s="69"/>
      <c r="K107" s="69"/>
      <c r="L107" s="69"/>
      <c r="M107" s="69"/>
      <c r="N107" s="69"/>
      <c r="O107" s="120"/>
    </row>
    <row r="108" spans="2:15" ht="15.75" customHeight="1" x14ac:dyDescent="0.35">
      <c r="B108" s="80" t="str">
        <f t="shared" si="8"/>
        <v>MIX4-C_1469-777_1-1_flua2_submittername</v>
      </c>
      <c r="C108" s="1" t="str">
        <f t="shared" si="9"/>
        <v>MIX4-C_1469-777_1-1_flua2_submittername.fa</v>
      </c>
      <c r="D108" s="110" t="s">
        <v>303</v>
      </c>
      <c r="E108" s="22" t="s">
        <v>54</v>
      </c>
      <c r="F108" s="22" t="s">
        <v>149</v>
      </c>
      <c r="O108" s="121"/>
    </row>
    <row r="109" spans="2:15" ht="15.75" customHeight="1" x14ac:dyDescent="0.35">
      <c r="B109" s="80" t="str">
        <f t="shared" si="8"/>
        <v>MIX4-C_1469-777_1-1_flua3_submittername</v>
      </c>
      <c r="C109" s="1" t="str">
        <f t="shared" si="9"/>
        <v>MIX4-C_1469-777_1-1_flua3_submittername.fa</v>
      </c>
      <c r="D109" s="110" t="s">
        <v>303</v>
      </c>
      <c r="E109" s="22" t="s">
        <v>56</v>
      </c>
      <c r="F109" s="22" t="s">
        <v>150</v>
      </c>
      <c r="O109" s="121"/>
    </row>
    <row r="110" spans="2:15" ht="15.75" customHeight="1" x14ac:dyDescent="0.35">
      <c r="B110" s="80" t="str">
        <f t="shared" si="8"/>
        <v>MIX4-C_1469-777_1-1_flua4_submittername</v>
      </c>
      <c r="C110" s="1" t="str">
        <f t="shared" si="9"/>
        <v>MIX4-C_1469-777_1-1_flua4_submittername.fa</v>
      </c>
      <c r="D110" s="110" t="s">
        <v>303</v>
      </c>
      <c r="E110" s="22" t="s">
        <v>58</v>
      </c>
      <c r="F110" s="22" t="s">
        <v>151</v>
      </c>
      <c r="O110" s="121"/>
    </row>
    <row r="111" spans="2:15" ht="15.75" customHeight="1" x14ac:dyDescent="0.35">
      <c r="B111" s="80" t="str">
        <f t="shared" si="8"/>
        <v>MIX4-C_1469-777_1-1_flua5_submittername</v>
      </c>
      <c r="C111" s="1" t="str">
        <f t="shared" si="9"/>
        <v>MIX4-C_1469-777_1-1_flua5_submittername.fa</v>
      </c>
      <c r="D111" s="110" t="s">
        <v>303</v>
      </c>
      <c r="E111" s="22" t="s">
        <v>60</v>
      </c>
      <c r="F111" s="22" t="s">
        <v>152</v>
      </c>
      <c r="O111" s="121"/>
    </row>
    <row r="112" spans="2:15" ht="15.75" customHeight="1" x14ac:dyDescent="0.35">
      <c r="B112" s="80" t="str">
        <f t="shared" si="8"/>
        <v>MIX4-C_1469-777_1-1_flua6_submittername</v>
      </c>
      <c r="C112" s="1" t="str">
        <f t="shared" si="9"/>
        <v>MIX4-C_1469-777_1-1_flua6_submittername.fa</v>
      </c>
      <c r="D112" s="110" t="s">
        <v>303</v>
      </c>
      <c r="E112" s="22" t="s">
        <v>62</v>
      </c>
      <c r="F112" s="22" t="s">
        <v>153</v>
      </c>
      <c r="O112" s="121"/>
    </row>
    <row r="113" spans="2:15" ht="15.75" customHeight="1" x14ac:dyDescent="0.35">
      <c r="B113" s="80" t="str">
        <f t="shared" si="8"/>
        <v>MIX4-C_1469-777_1-1_flua7_submittername</v>
      </c>
      <c r="C113" s="1" t="str">
        <f t="shared" si="9"/>
        <v>MIX4-C_1469-777_1-1_flua7_submittername.fa</v>
      </c>
      <c r="D113" s="110" t="s">
        <v>303</v>
      </c>
      <c r="E113" s="22" t="s">
        <v>64</v>
      </c>
      <c r="F113" s="22" t="s">
        <v>154</v>
      </c>
      <c r="O113" s="121"/>
    </row>
    <row r="114" spans="2:15" ht="15.75" customHeight="1" x14ac:dyDescent="0.35">
      <c r="B114" s="75" t="str">
        <f t="shared" si="8"/>
        <v>MIX4-C_1469-777_1-1_flua8_submittername</v>
      </c>
      <c r="C114" s="54" t="str">
        <f t="shared" si="9"/>
        <v>MIX4-C_1469-777_1-1_flua8_submittername.fa</v>
      </c>
      <c r="D114" s="55" t="s">
        <v>303</v>
      </c>
      <c r="E114" s="57" t="s">
        <v>66</v>
      </c>
      <c r="F114" s="57" t="s">
        <v>155</v>
      </c>
      <c r="G114" s="67"/>
      <c r="H114" s="67"/>
      <c r="I114" s="67"/>
      <c r="J114" s="67"/>
      <c r="K114" s="67"/>
      <c r="L114" s="67"/>
      <c r="M114" s="67"/>
      <c r="N114" s="67"/>
      <c r="O114" s="122"/>
    </row>
    <row r="115" spans="2:15" ht="15.75" customHeight="1" x14ac:dyDescent="0.35">
      <c r="B115" s="78" t="str">
        <f t="shared" si="8"/>
        <v>MIX5-A_1540-1469_4-1_rsva_submittername</v>
      </c>
      <c r="C115" s="63" t="str">
        <f t="shared" si="9"/>
        <v>MIX5-A_1540-1469_4-1_rsva_submittername.fa</v>
      </c>
      <c r="D115" s="64" t="s">
        <v>170</v>
      </c>
      <c r="E115" s="68" t="s">
        <v>101</v>
      </c>
      <c r="F115" s="65" t="s">
        <v>156</v>
      </c>
      <c r="G115" s="69"/>
      <c r="H115" s="69"/>
      <c r="I115" s="69"/>
      <c r="J115" s="69"/>
      <c r="K115" s="69"/>
      <c r="L115" s="69"/>
      <c r="M115" s="69"/>
      <c r="N115" s="69"/>
      <c r="O115" s="120"/>
    </row>
    <row r="116" spans="2:15" ht="15.75" customHeight="1" x14ac:dyDescent="0.35">
      <c r="B116" s="80" t="str">
        <f t="shared" si="8"/>
        <v>MIX5-A_1540-1469_4-1_flua1_submittername</v>
      </c>
      <c r="C116" s="1" t="str">
        <f t="shared" si="9"/>
        <v>MIX5-A_1540-1469_4-1_flua1_submittername.fa</v>
      </c>
      <c r="D116" s="110" t="s">
        <v>170</v>
      </c>
      <c r="E116" s="22" t="s">
        <v>51</v>
      </c>
      <c r="F116" s="22" t="s">
        <v>145</v>
      </c>
      <c r="O116" s="121"/>
    </row>
    <row r="117" spans="2:15" ht="15.75" customHeight="1" x14ac:dyDescent="0.35">
      <c r="B117" s="80" t="str">
        <f t="shared" si="8"/>
        <v>MIX5-A_1540-1469_4-1_flua2_submittername</v>
      </c>
      <c r="C117" s="1" t="str">
        <f t="shared" si="9"/>
        <v>MIX5-A_1540-1469_4-1_flua2_submittername.fa</v>
      </c>
      <c r="D117" s="110" t="s">
        <v>170</v>
      </c>
      <c r="E117" s="22" t="s">
        <v>54</v>
      </c>
      <c r="F117" s="22" t="s">
        <v>149</v>
      </c>
      <c r="O117" s="121"/>
    </row>
    <row r="118" spans="2:15" ht="15.75" customHeight="1" x14ac:dyDescent="0.35">
      <c r="B118" s="80" t="str">
        <f t="shared" si="8"/>
        <v>MIX5-A_1540-1469_4-1_flua3_submittername</v>
      </c>
      <c r="C118" s="1" t="str">
        <f t="shared" si="9"/>
        <v>MIX5-A_1540-1469_4-1_flua3_submittername.fa</v>
      </c>
      <c r="D118" s="110" t="s">
        <v>170</v>
      </c>
      <c r="E118" s="22" t="s">
        <v>56</v>
      </c>
      <c r="F118" s="22" t="s">
        <v>150</v>
      </c>
      <c r="O118" s="121"/>
    </row>
    <row r="119" spans="2:15" ht="15.75" customHeight="1" x14ac:dyDescent="0.35">
      <c r="B119" s="80" t="str">
        <f t="shared" si="8"/>
        <v>MIX5-A_1540-1469_4-1_flua4_submittername</v>
      </c>
      <c r="C119" s="1" t="str">
        <f t="shared" si="9"/>
        <v>MIX5-A_1540-1469_4-1_flua4_submittername.fa</v>
      </c>
      <c r="D119" s="110" t="s">
        <v>170</v>
      </c>
      <c r="E119" s="22" t="s">
        <v>58</v>
      </c>
      <c r="F119" s="22" t="s">
        <v>151</v>
      </c>
      <c r="O119" s="121"/>
    </row>
    <row r="120" spans="2:15" ht="15.75" customHeight="1" x14ac:dyDescent="0.35">
      <c r="B120" s="80" t="str">
        <f t="shared" si="8"/>
        <v>MIX5-A_1540-1469_4-1_flua5_submittername</v>
      </c>
      <c r="C120" s="1" t="str">
        <f t="shared" si="9"/>
        <v>MIX5-A_1540-1469_4-1_flua5_submittername.fa</v>
      </c>
      <c r="D120" s="110" t="s">
        <v>170</v>
      </c>
      <c r="E120" s="22" t="s">
        <v>60</v>
      </c>
      <c r="F120" s="22" t="s">
        <v>152</v>
      </c>
      <c r="O120" s="121"/>
    </row>
    <row r="121" spans="2:15" ht="15.75" customHeight="1" x14ac:dyDescent="0.35">
      <c r="B121" s="80" t="str">
        <f t="shared" si="8"/>
        <v>MIX5-A_1540-1469_4-1_flua6_submittername</v>
      </c>
      <c r="C121" s="1" t="str">
        <f t="shared" si="9"/>
        <v>MIX5-A_1540-1469_4-1_flua6_submittername.fa</v>
      </c>
      <c r="D121" s="110" t="s">
        <v>170</v>
      </c>
      <c r="E121" s="22" t="s">
        <v>62</v>
      </c>
      <c r="F121" s="22" t="s">
        <v>153</v>
      </c>
      <c r="O121" s="121"/>
    </row>
    <row r="122" spans="2:15" ht="15.75" customHeight="1" x14ac:dyDescent="0.35">
      <c r="B122" s="80" t="str">
        <f t="shared" si="8"/>
        <v>MIX5-A_1540-1469_4-1_flua7_submittername</v>
      </c>
      <c r="C122" s="1" t="str">
        <f t="shared" si="9"/>
        <v>MIX5-A_1540-1469_4-1_flua7_submittername.fa</v>
      </c>
      <c r="D122" s="110" t="s">
        <v>170</v>
      </c>
      <c r="E122" s="22" t="s">
        <v>64</v>
      </c>
      <c r="F122" s="22" t="s">
        <v>154</v>
      </c>
      <c r="O122" s="121"/>
    </row>
    <row r="123" spans="2:15" ht="15.75" customHeight="1" x14ac:dyDescent="0.35">
      <c r="B123" s="75" t="str">
        <f t="shared" si="8"/>
        <v>MIX5-A_1540-1469_4-1_flua8_submittername</v>
      </c>
      <c r="C123" s="54" t="str">
        <f t="shared" si="9"/>
        <v>MIX5-A_1540-1469_4-1_flua8_submittername.fa</v>
      </c>
      <c r="D123" s="55" t="s">
        <v>170</v>
      </c>
      <c r="E123" s="57" t="s">
        <v>66</v>
      </c>
      <c r="F123" s="57" t="s">
        <v>155</v>
      </c>
      <c r="G123" s="67"/>
      <c r="H123" s="67"/>
      <c r="I123" s="67"/>
      <c r="J123" s="67"/>
      <c r="K123" s="67"/>
      <c r="L123" s="67"/>
      <c r="M123" s="67"/>
      <c r="N123" s="67"/>
      <c r="O123" s="122"/>
    </row>
    <row r="124" spans="2:15" ht="15.75" customHeight="1" x14ac:dyDescent="0.35">
      <c r="B124" s="78" t="str">
        <f t="shared" ref="B124:B132" si="10">D124 &amp; "_" &amp; F124 &amp; "_" &amp; B$5</f>
        <v>MIX5-B_1540-1469_1-1_rsva_submittername</v>
      </c>
      <c r="C124" s="63" t="str">
        <f t="shared" ref="C124:C132" si="11">D124 &amp; "_" &amp; F124 &amp; "_" &amp; B$5 &amp; "." &amp; C$5</f>
        <v>MIX5-B_1540-1469_1-1_rsva_submittername.fa</v>
      </c>
      <c r="D124" s="64" t="s">
        <v>166</v>
      </c>
      <c r="E124" s="68" t="s">
        <v>101</v>
      </c>
      <c r="F124" s="65" t="s">
        <v>156</v>
      </c>
      <c r="G124" s="69"/>
      <c r="H124" s="69"/>
      <c r="I124" s="69"/>
      <c r="J124" s="69"/>
      <c r="K124" s="69"/>
      <c r="L124" s="69"/>
      <c r="M124" s="69"/>
      <c r="N124" s="69"/>
      <c r="O124" s="120"/>
    </row>
    <row r="125" spans="2:15" ht="15.75" customHeight="1" x14ac:dyDescent="0.35">
      <c r="B125" s="80" t="str">
        <f t="shared" si="10"/>
        <v>MIX5-B_1540-1469_1-1_flua1_submittername</v>
      </c>
      <c r="C125" s="1" t="str">
        <f t="shared" si="11"/>
        <v>MIX5-B_1540-1469_1-1_flua1_submittername.fa</v>
      </c>
      <c r="D125" s="110" t="s">
        <v>166</v>
      </c>
      <c r="E125" s="22" t="s">
        <v>51</v>
      </c>
      <c r="F125" s="22" t="s">
        <v>145</v>
      </c>
      <c r="O125" s="121"/>
    </row>
    <row r="126" spans="2:15" ht="15.75" customHeight="1" x14ac:dyDescent="0.35">
      <c r="B126" s="80" t="str">
        <f t="shared" si="10"/>
        <v>MIX5-B_1540-1469_1-1_flua2_submittername</v>
      </c>
      <c r="C126" s="1" t="str">
        <f t="shared" si="11"/>
        <v>MIX5-B_1540-1469_1-1_flua2_submittername.fa</v>
      </c>
      <c r="D126" s="110" t="s">
        <v>166</v>
      </c>
      <c r="E126" s="22" t="s">
        <v>54</v>
      </c>
      <c r="F126" s="22" t="s">
        <v>149</v>
      </c>
      <c r="O126" s="121"/>
    </row>
    <row r="127" spans="2:15" ht="15.75" customHeight="1" x14ac:dyDescent="0.35">
      <c r="B127" s="80" t="str">
        <f t="shared" si="10"/>
        <v>MIX5-B_1540-1469_1-1_flua3_submittername</v>
      </c>
      <c r="C127" s="1" t="str">
        <f t="shared" si="11"/>
        <v>MIX5-B_1540-1469_1-1_flua3_submittername.fa</v>
      </c>
      <c r="D127" s="110" t="s">
        <v>166</v>
      </c>
      <c r="E127" s="22" t="s">
        <v>56</v>
      </c>
      <c r="F127" s="22" t="s">
        <v>150</v>
      </c>
      <c r="O127" s="121"/>
    </row>
    <row r="128" spans="2:15" ht="15.75" customHeight="1" x14ac:dyDescent="0.35">
      <c r="B128" s="80" t="str">
        <f t="shared" si="10"/>
        <v>MIX5-B_1540-1469_1-1_flua4_submittername</v>
      </c>
      <c r="C128" s="1" t="str">
        <f t="shared" si="11"/>
        <v>MIX5-B_1540-1469_1-1_flua4_submittername.fa</v>
      </c>
      <c r="D128" s="110" t="s">
        <v>166</v>
      </c>
      <c r="E128" s="22" t="s">
        <v>58</v>
      </c>
      <c r="F128" s="22" t="s">
        <v>151</v>
      </c>
      <c r="O128" s="121"/>
    </row>
    <row r="129" spans="2:15" ht="15.75" customHeight="1" x14ac:dyDescent="0.35">
      <c r="B129" s="80" t="str">
        <f t="shared" si="10"/>
        <v>MIX5-B_1540-1469_1-1_flua5_submittername</v>
      </c>
      <c r="C129" s="1" t="str">
        <f t="shared" si="11"/>
        <v>MIX5-B_1540-1469_1-1_flua5_submittername.fa</v>
      </c>
      <c r="D129" s="110" t="s">
        <v>166</v>
      </c>
      <c r="E129" s="22" t="s">
        <v>60</v>
      </c>
      <c r="F129" s="22" t="s">
        <v>152</v>
      </c>
      <c r="O129" s="121"/>
    </row>
    <row r="130" spans="2:15" ht="15.75" customHeight="1" x14ac:dyDescent="0.35">
      <c r="B130" s="80" t="str">
        <f t="shared" si="10"/>
        <v>MIX5-B_1540-1469_1-1_flua6_submittername</v>
      </c>
      <c r="C130" s="1" t="str">
        <f t="shared" si="11"/>
        <v>MIX5-B_1540-1469_1-1_flua6_submittername.fa</v>
      </c>
      <c r="D130" s="110" t="s">
        <v>166</v>
      </c>
      <c r="E130" s="22" t="s">
        <v>62</v>
      </c>
      <c r="F130" s="22" t="s">
        <v>153</v>
      </c>
      <c r="O130" s="121"/>
    </row>
    <row r="131" spans="2:15" ht="15.75" customHeight="1" x14ac:dyDescent="0.35">
      <c r="B131" s="80" t="str">
        <f t="shared" si="10"/>
        <v>MIX5-B_1540-1469_1-1_flua7_submittername</v>
      </c>
      <c r="C131" s="1" t="str">
        <f t="shared" si="11"/>
        <v>MIX5-B_1540-1469_1-1_flua7_submittername.fa</v>
      </c>
      <c r="D131" s="110" t="s">
        <v>166</v>
      </c>
      <c r="E131" s="22" t="s">
        <v>64</v>
      </c>
      <c r="F131" s="22" t="s">
        <v>154</v>
      </c>
      <c r="O131" s="121"/>
    </row>
    <row r="132" spans="2:15" ht="15.75" customHeight="1" x14ac:dyDescent="0.35">
      <c r="B132" s="75" t="str">
        <f t="shared" si="10"/>
        <v>MIX5-B_1540-1469_1-1_flua8_submittername</v>
      </c>
      <c r="C132" s="54" t="str">
        <f t="shared" si="11"/>
        <v>MIX5-B_1540-1469_1-1_flua8_submittername.fa</v>
      </c>
      <c r="D132" s="55" t="s">
        <v>166</v>
      </c>
      <c r="E132" s="57" t="s">
        <v>66</v>
      </c>
      <c r="F132" s="57" t="s">
        <v>155</v>
      </c>
      <c r="G132" s="67"/>
      <c r="H132" s="67"/>
      <c r="I132" s="67"/>
      <c r="J132" s="67"/>
      <c r="K132" s="67"/>
      <c r="L132" s="67"/>
      <c r="M132" s="67"/>
      <c r="N132" s="67"/>
      <c r="O132" s="122"/>
    </row>
    <row r="133" spans="2:15" ht="15.75" customHeight="1" x14ac:dyDescent="0.35">
      <c r="B133" s="78" t="str">
        <f t="shared" ref="B133:B141" si="12">D133 &amp; "_" &amp; F133 &amp; "_" &amp; B$5</f>
        <v>MIX5-C_1540-1469_1-4_rsva_submittername</v>
      </c>
      <c r="C133" s="63" t="str">
        <f t="shared" ref="C133:C141" si="13">D133 &amp; "_" &amp; F133 &amp; "_" &amp; B$5 &amp; "." &amp; C$5</f>
        <v>MIX5-C_1540-1469_1-4_rsva_submittername.fa</v>
      </c>
      <c r="D133" s="64" t="s">
        <v>162</v>
      </c>
      <c r="E133" s="68" t="s">
        <v>101</v>
      </c>
      <c r="F133" s="65" t="s">
        <v>156</v>
      </c>
      <c r="G133" s="69"/>
      <c r="H133" s="69"/>
      <c r="I133" s="69"/>
      <c r="J133" s="69"/>
      <c r="K133" s="69"/>
      <c r="L133" s="69"/>
      <c r="M133" s="69"/>
      <c r="N133" s="69"/>
      <c r="O133" s="120"/>
    </row>
    <row r="134" spans="2:15" ht="15.75" customHeight="1" x14ac:dyDescent="0.35">
      <c r="B134" s="80" t="str">
        <f t="shared" si="12"/>
        <v>MIX5-C_1540-1469_1-4_flua1_submittername</v>
      </c>
      <c r="C134" s="1" t="str">
        <f t="shared" si="13"/>
        <v>MIX5-C_1540-1469_1-4_flua1_submittername.fa</v>
      </c>
      <c r="D134" s="110" t="s">
        <v>162</v>
      </c>
      <c r="E134" s="22" t="s">
        <v>51</v>
      </c>
      <c r="F134" s="22" t="s">
        <v>145</v>
      </c>
      <c r="O134" s="121"/>
    </row>
    <row r="135" spans="2:15" ht="15.75" customHeight="1" x14ac:dyDescent="0.35">
      <c r="B135" s="80" t="str">
        <f t="shared" si="12"/>
        <v>MIX5-C_1540-1469_1-4_flua2_submittername</v>
      </c>
      <c r="C135" s="1" t="str">
        <f t="shared" si="13"/>
        <v>MIX5-C_1540-1469_1-4_flua2_submittername.fa</v>
      </c>
      <c r="D135" s="110" t="s">
        <v>162</v>
      </c>
      <c r="E135" s="22" t="s">
        <v>54</v>
      </c>
      <c r="F135" s="22" t="s">
        <v>149</v>
      </c>
      <c r="O135" s="121"/>
    </row>
    <row r="136" spans="2:15" ht="15.75" customHeight="1" x14ac:dyDescent="0.35">
      <c r="B136" s="80" t="str">
        <f t="shared" si="12"/>
        <v>MIX5-C_1540-1469_1-4_flua3_submittername</v>
      </c>
      <c r="C136" s="1" t="str">
        <f t="shared" si="13"/>
        <v>MIX5-C_1540-1469_1-4_flua3_submittername.fa</v>
      </c>
      <c r="D136" s="110" t="s">
        <v>162</v>
      </c>
      <c r="E136" s="22" t="s">
        <v>56</v>
      </c>
      <c r="F136" s="22" t="s">
        <v>150</v>
      </c>
      <c r="O136" s="121"/>
    </row>
    <row r="137" spans="2:15" ht="15.75" customHeight="1" x14ac:dyDescent="0.35">
      <c r="B137" s="80" t="str">
        <f t="shared" si="12"/>
        <v>MIX5-C_1540-1469_1-4_flua4_submittername</v>
      </c>
      <c r="C137" s="1" t="str">
        <f t="shared" si="13"/>
        <v>MIX5-C_1540-1469_1-4_flua4_submittername.fa</v>
      </c>
      <c r="D137" s="110" t="s">
        <v>162</v>
      </c>
      <c r="E137" s="22" t="s">
        <v>58</v>
      </c>
      <c r="F137" s="22" t="s">
        <v>151</v>
      </c>
      <c r="O137" s="121"/>
    </row>
    <row r="138" spans="2:15" ht="15.75" customHeight="1" x14ac:dyDescent="0.35">
      <c r="B138" s="80" t="str">
        <f t="shared" si="12"/>
        <v>MIX5-C_1540-1469_1-4_flua5_submittername</v>
      </c>
      <c r="C138" s="1" t="str">
        <f t="shared" si="13"/>
        <v>MIX5-C_1540-1469_1-4_flua5_submittername.fa</v>
      </c>
      <c r="D138" s="110" t="s">
        <v>162</v>
      </c>
      <c r="E138" s="22" t="s">
        <v>60</v>
      </c>
      <c r="F138" s="22" t="s">
        <v>152</v>
      </c>
      <c r="O138" s="121"/>
    </row>
    <row r="139" spans="2:15" ht="15.75" customHeight="1" x14ac:dyDescent="0.35">
      <c r="B139" s="80" t="str">
        <f t="shared" si="12"/>
        <v>MIX5-C_1540-1469_1-4_flua6_submittername</v>
      </c>
      <c r="C139" s="1" t="str">
        <f t="shared" si="13"/>
        <v>MIX5-C_1540-1469_1-4_flua6_submittername.fa</v>
      </c>
      <c r="D139" s="110" t="s">
        <v>162</v>
      </c>
      <c r="E139" s="22" t="s">
        <v>62</v>
      </c>
      <c r="F139" s="22" t="s">
        <v>153</v>
      </c>
      <c r="O139" s="121"/>
    </row>
    <row r="140" spans="2:15" ht="15.75" customHeight="1" x14ac:dyDescent="0.35">
      <c r="B140" s="80" t="str">
        <f t="shared" si="12"/>
        <v>MIX5-C_1540-1469_1-4_flua7_submittername</v>
      </c>
      <c r="C140" s="1" t="str">
        <f t="shared" si="13"/>
        <v>MIX5-C_1540-1469_1-4_flua7_submittername.fa</v>
      </c>
      <c r="D140" s="110" t="s">
        <v>162</v>
      </c>
      <c r="E140" s="22" t="s">
        <v>64</v>
      </c>
      <c r="F140" s="22" t="s">
        <v>154</v>
      </c>
      <c r="O140" s="121"/>
    </row>
    <row r="141" spans="2:15" ht="15.75" customHeight="1" thickBot="1" x14ac:dyDescent="0.4">
      <c r="B141" s="86" t="str">
        <f t="shared" si="12"/>
        <v>MIX5-C_1540-1469_1-4_flua8_submittername</v>
      </c>
      <c r="C141" s="87" t="str">
        <f t="shared" si="13"/>
        <v>MIX5-C_1540-1469_1-4_flua8_submittername.fa</v>
      </c>
      <c r="D141" s="88" t="s">
        <v>162</v>
      </c>
      <c r="E141" s="89" t="s">
        <v>66</v>
      </c>
      <c r="F141" s="89" t="s">
        <v>155</v>
      </c>
      <c r="G141" s="123"/>
      <c r="H141" s="123"/>
      <c r="I141" s="123"/>
      <c r="J141" s="123"/>
      <c r="K141" s="123"/>
      <c r="L141" s="123"/>
      <c r="M141" s="123"/>
      <c r="N141" s="123"/>
      <c r="O141" s="124"/>
    </row>
  </sheetData>
  <mergeCells count="3">
    <mergeCell ref="B1:J1"/>
    <mergeCell ref="D2:E2"/>
    <mergeCell ref="D3:E3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PhaseI-Bfx</vt:lpstr>
      <vt:lpstr>PhaseII-WetLab</vt:lpstr>
      <vt:lpstr>PhaseII-WetLabReference</vt:lpstr>
      <vt:lpstr>PhaseII-Bfx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Lang</cp:lastModifiedBy>
  <dcterms:modified xsi:type="dcterms:W3CDTF">2025-11-04T21:39:42Z</dcterms:modified>
</cp:coreProperties>
</file>