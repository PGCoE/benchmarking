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codeName="ThisWorkbook"/>
  <mc:AlternateContent xmlns:mc="http://schemas.openxmlformats.org/markup-compatibility/2006">
    <mc:Choice Requires="x15">
      <x15ac:absPath xmlns:x15ac="http://schemas.microsoft.com/office/spreadsheetml/2010/11/ac" url="/Users/swohl/Desktop/"/>
    </mc:Choice>
  </mc:AlternateContent>
  <xr:revisionPtr revIDLastSave="0" documentId="13_ncr:1_{5F6821BC-4B44-4A46-AAD2-D0DEADF8409F}" xr6:coauthVersionLast="47" xr6:coauthVersionMax="47" xr10:uidLastSave="{00000000-0000-0000-0000-000000000000}"/>
  <bookViews>
    <workbookView xWindow="2500" yWindow="620" windowWidth="32180" windowHeight="19280" activeTab="3" xr2:uid="{00000000-000D-0000-FFFF-FFFF00000000}"/>
  </bookViews>
  <sheets>
    <sheet name="PhaseI-Bfx" sheetId="1" r:id="rId1"/>
    <sheet name="PhaseII-WetLab" sheetId="3" r:id="rId2"/>
    <sheet name="PhaseII-WetLabReference" sheetId="4" state="hidden" r:id="rId3"/>
    <sheet name="PhaseII-Bfx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0" i="1" l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7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55" i="1"/>
  <c r="B56" i="1"/>
  <c r="B57" i="1"/>
  <c r="B58" i="1"/>
  <c r="B59" i="1"/>
  <c r="B60" i="1"/>
  <c r="B61" i="1"/>
  <c r="B62" i="1"/>
  <c r="B47" i="1"/>
  <c r="B48" i="1"/>
  <c r="B49" i="1"/>
  <c r="B50" i="1"/>
  <c r="B51" i="1"/>
  <c r="B52" i="1"/>
  <c r="B53" i="1"/>
  <c r="B54" i="1"/>
  <c r="B39" i="1"/>
  <c r="B40" i="1"/>
  <c r="B41" i="1"/>
  <c r="B42" i="1"/>
  <c r="B43" i="1"/>
  <c r="B44" i="1"/>
  <c r="B45" i="1"/>
  <c r="B46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8" i="1"/>
  <c r="B9" i="1"/>
  <c r="B10" i="1"/>
  <c r="B11" i="1"/>
  <c r="B12" i="1"/>
  <c r="B13" i="1"/>
  <c r="B14" i="1"/>
  <c r="B7" i="1"/>
  <c r="C141" i="2"/>
  <c r="B141" i="2"/>
  <c r="C140" i="2"/>
  <c r="B140" i="2"/>
  <c r="C139" i="2"/>
  <c r="B139" i="2"/>
  <c r="C138" i="2"/>
  <c r="B138" i="2"/>
  <c r="C137" i="2"/>
  <c r="B137" i="2"/>
  <c r="C136" i="2"/>
  <c r="B136" i="2"/>
  <c r="C135" i="2"/>
  <c r="B135" i="2"/>
  <c r="C134" i="2"/>
  <c r="B134" i="2"/>
  <c r="C133" i="2"/>
  <c r="B133" i="2"/>
  <c r="C132" i="2"/>
  <c r="B132" i="2"/>
  <c r="C131" i="2"/>
  <c r="B131" i="2"/>
  <c r="C130" i="2"/>
  <c r="B130" i="2"/>
  <c r="C129" i="2"/>
  <c r="B129" i="2"/>
  <c r="C128" i="2"/>
  <c r="B128" i="2"/>
  <c r="C127" i="2"/>
  <c r="B127" i="2"/>
  <c r="C126" i="2"/>
  <c r="B126" i="2"/>
  <c r="C125" i="2"/>
  <c r="B125" i="2"/>
  <c r="C124" i="2"/>
  <c r="B124" i="2"/>
  <c r="C123" i="2"/>
  <c r="B123" i="2"/>
  <c r="C122" i="2"/>
  <c r="B122" i="2"/>
  <c r="C121" i="2"/>
  <c r="B121" i="2"/>
  <c r="C120" i="2"/>
  <c r="B120" i="2"/>
  <c r="C119" i="2"/>
  <c r="B119" i="2"/>
  <c r="C118" i="2"/>
  <c r="B118" i="2"/>
  <c r="C117" i="2"/>
  <c r="B117" i="2"/>
  <c r="C116" i="2"/>
  <c r="B116" i="2"/>
  <c r="C115" i="2"/>
  <c r="B115" i="2"/>
  <c r="C114" i="2"/>
  <c r="B114" i="2"/>
  <c r="C113" i="2"/>
  <c r="B113" i="2"/>
  <c r="C112" i="2"/>
  <c r="B112" i="2"/>
  <c r="C111" i="2"/>
  <c r="B111" i="2"/>
  <c r="C110" i="2"/>
  <c r="B110" i="2"/>
  <c r="C109" i="2"/>
  <c r="B109" i="2"/>
  <c r="C108" i="2"/>
  <c r="B108" i="2"/>
  <c r="C107" i="2"/>
  <c r="B107" i="2"/>
  <c r="C106" i="2"/>
  <c r="B106" i="2"/>
  <c r="C105" i="2"/>
  <c r="B105" i="2"/>
  <c r="C104" i="2"/>
  <c r="B104" i="2"/>
  <c r="C103" i="2"/>
  <c r="B103" i="2"/>
  <c r="C102" i="2"/>
  <c r="B102" i="2"/>
  <c r="C101" i="2"/>
  <c r="B101" i="2"/>
  <c r="C100" i="2"/>
  <c r="B100" i="2"/>
  <c r="C99" i="2"/>
  <c r="B99" i="2"/>
  <c r="C98" i="2"/>
  <c r="B98" i="2"/>
  <c r="C97" i="2"/>
  <c r="B97" i="2"/>
  <c r="C96" i="2"/>
  <c r="B96" i="2"/>
  <c r="C95" i="2"/>
  <c r="B95" i="2"/>
  <c r="C94" i="2"/>
  <c r="B94" i="2"/>
  <c r="C93" i="2"/>
  <c r="B93" i="2"/>
  <c r="C92" i="2"/>
  <c r="B92" i="2"/>
  <c r="C91" i="2"/>
  <c r="B91" i="2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8" i="3"/>
  <c r="B58" i="2"/>
  <c r="C58" i="2"/>
  <c r="B7" i="2"/>
  <c r="B8" i="2"/>
  <c r="B9" i="2"/>
  <c r="C8" i="2"/>
  <c r="C9" i="2"/>
  <c r="C7" i="2"/>
  <c r="B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11" i="2"/>
  <c r="B12" i="2"/>
  <c r="B13" i="2"/>
  <c r="B14" i="2"/>
  <c r="B15" i="2"/>
  <c r="B16" i="2"/>
  <c r="B17" i="2"/>
  <c r="C10" i="2"/>
</calcChain>
</file>

<file path=xl/sharedStrings.xml><?xml version="1.0" encoding="utf-8"?>
<sst xmlns="http://schemas.openxmlformats.org/spreadsheetml/2006/main" count="1357" uniqueCount="293">
  <si>
    <t>Naming Scheme: We recommend naming your files with a concatenation of the SRA ID, reference used, and your submitter abbreviation - separated by an underscore. If you populate "Submitter Name For Files" and "Assembly Filename Extension", this sheet will pre-generate that for you. Or, deviate from this schema as necessary for your processes</t>
  </si>
  <si>
    <t>Organization/Lab Name</t>
  </si>
  <si>
    <t>POC Name</t>
  </si>
  <si>
    <t>POC Email</t>
  </si>
  <si>
    <t>Submitter Name For Files (no spaces)</t>
  </si>
  <si>
    <t>Assembly Filename Extension (fasta/fa)</t>
  </si>
  <si>
    <t>submittername</t>
  </si>
  <si>
    <t>fa</t>
  </si>
  <si>
    <t>Sample ID</t>
  </si>
  <si>
    <t>Assembly Filename</t>
  </si>
  <si>
    <t>SRA ID</t>
  </si>
  <si>
    <t>Assembly Species / Segment</t>
  </si>
  <si>
    <t>Reference Used</t>
  </si>
  <si>
    <t>Platform</t>
  </si>
  <si>
    <t>Strategy</t>
  </si>
  <si>
    <t xml:space="preserve">Assembly Generated? </t>
  </si>
  <si>
    <t xml:space="preserve">Would this be condsidered "Passing" by your internal standards? </t>
  </si>
  <si>
    <t>Compute Environment (HPC cluster, cloud/local workstation)</t>
  </si>
  <si>
    <t>Workflow Name &amp; Version</t>
  </si>
  <si>
    <t>Workflow Github Link (if hosted/public on GH)</t>
  </si>
  <si>
    <t>SRR28460520</t>
  </si>
  <si>
    <t>Influenza B / 1</t>
  </si>
  <si>
    <t>NC_002204.1</t>
  </si>
  <si>
    <t>Illumina</t>
  </si>
  <si>
    <t>WGS</t>
  </si>
  <si>
    <t>RANDOM PCR</t>
  </si>
  <si>
    <t>Influenza B / 2</t>
  </si>
  <si>
    <t>NC_002205.1</t>
  </si>
  <si>
    <t>Influenza B / 3</t>
  </si>
  <si>
    <t>NC_002206.1</t>
  </si>
  <si>
    <t>Influenza B / 4</t>
  </si>
  <si>
    <t>NC_002207.1</t>
  </si>
  <si>
    <t>Influenza B / 5</t>
  </si>
  <si>
    <t>NC_002208.1</t>
  </si>
  <si>
    <t>Influenza B / 6</t>
  </si>
  <si>
    <t>NC_002209.1</t>
  </si>
  <si>
    <t>Influenza B / 7</t>
  </si>
  <si>
    <t>NC_002210.1</t>
  </si>
  <si>
    <t>Influenza B / 8</t>
  </si>
  <si>
    <t>NC_002211.1</t>
  </si>
  <si>
    <t>SRR32566846</t>
  </si>
  <si>
    <t>ONT</t>
  </si>
  <si>
    <t>AMPLICON</t>
  </si>
  <si>
    <t>size fractionation</t>
  </si>
  <si>
    <t>SRR30714436</t>
  </si>
  <si>
    <t>RNA-Seq</t>
  </si>
  <si>
    <t>RANDOM</t>
  </si>
  <si>
    <t>SRR29478216</t>
  </si>
  <si>
    <t>PCR</t>
  </si>
  <si>
    <t>SRR22846266</t>
  </si>
  <si>
    <t>ERR12329533</t>
  </si>
  <si>
    <t>Influenza A / 1</t>
  </si>
  <si>
    <t>NC_026438.1</t>
  </si>
  <si>
    <t>PolyA</t>
  </si>
  <si>
    <t>Influenza A / 2</t>
  </si>
  <si>
    <t>NC_026435.1</t>
  </si>
  <si>
    <t>Influenza A / 3</t>
  </si>
  <si>
    <t>NC_026437.1</t>
  </si>
  <si>
    <t>Influenza A / 4</t>
  </si>
  <si>
    <t>NC_026433.1</t>
  </si>
  <si>
    <t>Influenza A / 5</t>
  </si>
  <si>
    <t>NC_026436.1</t>
  </si>
  <si>
    <t>Influenza A / 6</t>
  </si>
  <si>
    <t>NC_026434.1</t>
  </si>
  <si>
    <t>Influenza A / 7</t>
  </si>
  <si>
    <t>NC_026431.1</t>
  </si>
  <si>
    <t>Influenza A / 8</t>
  </si>
  <si>
    <t>NC_026432.1</t>
  </si>
  <si>
    <t>ERR10221502</t>
  </si>
  <si>
    <t>RT-PCR</t>
  </si>
  <si>
    <t>SRR8032432</t>
  </si>
  <si>
    <t>ERR3474640</t>
  </si>
  <si>
    <t>NC_007372.1</t>
  </si>
  <si>
    <t>NC_007373.1</t>
  </si>
  <si>
    <t>NC_007371.1</t>
  </si>
  <si>
    <t>NC_007366.1</t>
  </si>
  <si>
    <t>NC_007369.1</t>
  </si>
  <si>
    <t>NC_007368.1</t>
  </si>
  <si>
    <t>NC_007367.1</t>
  </si>
  <si>
    <t>NC_007370.1</t>
  </si>
  <si>
    <t>SRR17349351</t>
  </si>
  <si>
    <t>OL782155.1</t>
  </si>
  <si>
    <t>OL782156.1</t>
  </si>
  <si>
    <t>OL782157.1</t>
  </si>
  <si>
    <t>OL782158.1</t>
  </si>
  <si>
    <t>OL782159.1</t>
  </si>
  <si>
    <t>OL782160.1</t>
  </si>
  <si>
    <t>OL782161.1</t>
  </si>
  <si>
    <t>OL782162.1</t>
  </si>
  <si>
    <t>ERR11658778</t>
  </si>
  <si>
    <t>DQ266097.1</t>
  </si>
  <si>
    <t>DQ266098.1</t>
  </si>
  <si>
    <t>DQ266099.1</t>
  </si>
  <si>
    <t>DQ266094.1</t>
  </si>
  <si>
    <t>DQ266096.1</t>
  </si>
  <si>
    <t>DQ266095.1</t>
  </si>
  <si>
    <t>DQ266100.1</t>
  </si>
  <si>
    <t>DQ266101.1</t>
  </si>
  <si>
    <t>SRR28460508</t>
  </si>
  <si>
    <t>SRR28460730</t>
  </si>
  <si>
    <t>SRR28460430</t>
  </si>
  <si>
    <t>RSV A</t>
  </si>
  <si>
    <t>KY654518.1</t>
  </si>
  <si>
    <t>SRR28460443</t>
  </si>
  <si>
    <t>RSV B</t>
  </si>
  <si>
    <t>MZ516105.1</t>
  </si>
  <si>
    <t>SRR6849656</t>
  </si>
  <si>
    <t>SRR6849700</t>
  </si>
  <si>
    <t>SRR29105551</t>
  </si>
  <si>
    <t>SRR29105531</t>
  </si>
  <si>
    <t>SRR10033266</t>
  </si>
  <si>
    <t>SRR10033406</t>
  </si>
  <si>
    <t>SRR29541224</t>
  </si>
  <si>
    <t>SRR29541232</t>
  </si>
  <si>
    <t>SRR27723526</t>
  </si>
  <si>
    <t>SARS-CoV-2</t>
  </si>
  <si>
    <t>NC_045512.2</t>
  </si>
  <si>
    <t>SRR27723604</t>
  </si>
  <si>
    <t>SRR27723548</t>
  </si>
  <si>
    <t>SRR21643272</t>
  </si>
  <si>
    <t>SRR21643274</t>
  </si>
  <si>
    <t>SRR25780269</t>
  </si>
  <si>
    <t>PacBio</t>
  </si>
  <si>
    <t>Synthetic-Long-Read</t>
  </si>
  <si>
    <t>Restriction Digest</t>
  </si>
  <si>
    <t>SRR21357948</t>
  </si>
  <si>
    <t>SRR24146478</t>
  </si>
  <si>
    <t>SRR24146463</t>
  </si>
  <si>
    <t>SRR27033643</t>
  </si>
  <si>
    <t>Inverse rRNA</t>
  </si>
  <si>
    <t>SC2_composite</t>
  </si>
  <si>
    <t>RSVA_1540</t>
  </si>
  <si>
    <t>RSVB_3381</t>
  </si>
  <si>
    <t>H1N1_1469</t>
  </si>
  <si>
    <t>H3N2_777</t>
  </si>
  <si>
    <t>INFB_1931</t>
  </si>
  <si>
    <t>MIX1-A_1469-777_4-1</t>
  </si>
  <si>
    <t>MIX1-B_1469-777_1-1</t>
  </si>
  <si>
    <t>MIX1-C_1469-777_1-4</t>
  </si>
  <si>
    <t>MIX2-A_1540-3381_4-1</t>
  </si>
  <si>
    <t>MIX2-B_1540-3381_1-1</t>
  </si>
  <si>
    <t>MIX2-C_1540-3381_1-4</t>
  </si>
  <si>
    <t>MIX3-A_1540-1469_4-1</t>
  </si>
  <si>
    <t>MIX3-B_1540-1469_1-1</t>
  </si>
  <si>
    <t>MIX3-C_1540-1469_1-4</t>
  </si>
  <si>
    <t>flua1</t>
  </si>
  <si>
    <t>Segment</t>
  </si>
  <si>
    <t>Reference</t>
  </si>
  <si>
    <t>Assembly Species</t>
  </si>
  <si>
    <t>flua2</t>
  </si>
  <si>
    <t>flua3</t>
  </si>
  <si>
    <t>flua4</t>
  </si>
  <si>
    <t>flua5</t>
  </si>
  <si>
    <t>flua6</t>
  </si>
  <si>
    <t>flua7</t>
  </si>
  <si>
    <t>flua8</t>
  </si>
  <si>
    <t>rsva</t>
  </si>
  <si>
    <t>rsvb</t>
  </si>
  <si>
    <t>sc2</t>
  </si>
  <si>
    <t>*Optional for inclusion in benchmarking end-to-end analysis</t>
  </si>
  <si>
    <t>RVH1: RSVA2 (ATCC VR-1540) + H1N1 (ATCC VR-1469), 1:4 ratio</t>
  </si>
  <si>
    <t>MIX5-C_1540-1469_1-4</t>
  </si>
  <si>
    <t>MIX5-C</t>
  </si>
  <si>
    <t>RVH1: RSVA2 (ATCC VR-1540) + H1N1 (ATCC VR-1469), 1:1 ratio</t>
  </si>
  <si>
    <t>MIX5-B_1540-1469_1-1</t>
  </si>
  <si>
    <t>MIX5-B</t>
  </si>
  <si>
    <t>RVH1: RSVA2 (ATCC VR-1540) + H1N1 (ATCC VR-1469), 4:1 ratio</t>
  </si>
  <si>
    <t>MIX5-A_1540-1469_4-1</t>
  </si>
  <si>
    <t>MIX5-A</t>
  </si>
  <si>
    <t>H13: H1N1 (ATCC VR-1469) + H3N2 (ATCC VR-777), 1:4 ratio</t>
  </si>
  <si>
    <t>MIX4-C_1469-777_1-4</t>
  </si>
  <si>
    <t>MIX4-C</t>
  </si>
  <si>
    <t>H13: H1N1 (ATCC VR-1469) + H3N2 (ATCC VR-777), 1:1 ratio</t>
  </si>
  <si>
    <t>MIX4-B_1469-777_1-1</t>
  </si>
  <si>
    <t>MIX4-B</t>
  </si>
  <si>
    <t>H13: H1N1 (ATCC VR-1469) + H3N2 (ATCC VR-777), 4:1 ratio</t>
  </si>
  <si>
    <t>MIX4-A_1469-777_4-1</t>
  </si>
  <si>
    <t>MIX4-A</t>
  </si>
  <si>
    <t>RVH1: RSVA2 (ATCC VR-1540) + H1N1 (ATCC VR-1469), 125:1 ratio</t>
  </si>
  <si>
    <t>MIX3-C*</t>
  </si>
  <si>
    <t>RVH1: RSVA2 (ATCC VR-1540) + H1N1 (ATCC VR-1469), 500:1 ratio</t>
  </si>
  <si>
    <t>MIX3-B*</t>
  </si>
  <si>
    <t>RVH1: RSVA2 (ATCC VR-1540) + H1N1 (ATCC VR-1469), 2000:1 ratio</t>
  </si>
  <si>
    <t>MIX3-A*</t>
  </si>
  <si>
    <t>RV2: RSVA2 (ATCC VR-1540) + RSVB1 (ATCC VR-3381), 1:4 ratio</t>
  </si>
  <si>
    <t>MIX2-C</t>
  </si>
  <si>
    <t>RV2: RSVA2 (ATCC VR-1540) + RSVB1 (ATCC VR-3381), 1:1 ratio</t>
  </si>
  <si>
    <t>MIX2-B</t>
  </si>
  <si>
    <t>RV2: RSVA2 (ATCC VR-1540) + RSVB1 (ATCC VR-3381), 4:1 ratio</t>
  </si>
  <si>
    <t>MIX2-A</t>
  </si>
  <si>
    <t>H13: H1N1 (ATCC VR-1469) + H3N2 (ATCC VR-777), 1:25 ratio</t>
  </si>
  <si>
    <t>MIX1-C*</t>
  </si>
  <si>
    <t>H13: H1N1 (ATCC VR-1469) + H3N2 (ATCC VR-777), 1:100 ratio</t>
  </si>
  <si>
    <t>MIX1-B*</t>
  </si>
  <si>
    <t>H13: H1N1 (ATCC VR-1469) + H3N2 (ATCC VR-777), 1:500 ratio</t>
  </si>
  <si>
    <t>MIX1-A*</t>
  </si>
  <si>
    <t>Influenza B (ATCC VR-1931)</t>
  </si>
  <si>
    <t>INFB</t>
  </si>
  <si>
    <t>Influenza A H3N2 (ATCC VR-777)</t>
  </si>
  <si>
    <t>H3N2</t>
  </si>
  <si>
    <t>Influenza A H1N1 (ATCC VR-1469)</t>
  </si>
  <si>
    <t>H1N1</t>
  </si>
  <si>
    <t>Respiratory syncytial virus B (ATCC VR-1540)</t>
  </si>
  <si>
    <t>RSVB</t>
  </si>
  <si>
    <t>Respiratory syncytial virus A (ATCC VR-1540)</t>
  </si>
  <si>
    <t>RSVA</t>
  </si>
  <si>
    <t>SARS-CoV-2 (composite of clinical specimens)</t>
  </si>
  <si>
    <t>SC1</t>
  </si>
  <si>
    <t>Other comments or remarks</t>
  </si>
  <si>
    <t>Please provide a link (protocols.io, GitHub, OneDrive, etc.) to the protocol used for library prep, if available</t>
  </si>
  <si>
    <t xml:space="preserve">Did the sequencing run including this sample pass the run-level metrics? </t>
  </si>
  <si>
    <t>Please describe the run-level metrics evaluated</t>
  </si>
  <si>
    <t>Does your laboratory have acceptability criteria for sequencing run metrics?</t>
  </si>
  <si>
    <t xml:space="preserve">If yes, what is the estimated LOD for the method? (Optional) </t>
  </si>
  <si>
    <t xml:space="preserve">Did you laboratory perform an LOD performance verification that included this sample? (Optional) </t>
  </si>
  <si>
    <t xml:space="preserve">If QC materials (i.e., other positive control ATCC strains, negative controls, etc.) were included in the sequencing run, please list them (Optional) </t>
  </si>
  <si>
    <t xml:space="preserve">What was the total number of samples run with this sample material? </t>
  </si>
  <si>
    <t>What is the total sequencing capacity of a typical WGS run that includes libraries for this pathogen?  (i.e. What is the genome load or number of libraries in a typical respiratory pathogen sequencing run?)</t>
  </si>
  <si>
    <t xml:space="preserve">Expected read length? </t>
  </si>
  <si>
    <t xml:space="preserve">Single or paired end? </t>
  </si>
  <si>
    <t>Which sequencing platform did you use?</t>
  </si>
  <si>
    <t xml:space="preserve">Date sequenced? </t>
  </si>
  <si>
    <t>What value was obtained? 6</t>
  </si>
  <si>
    <t>Which quality checkpoints did you use during library preparation? (Optional) 6</t>
  </si>
  <si>
    <t>What value was obtained? 5</t>
  </si>
  <si>
    <t>Which quality checkpoints did you use during library preparation? (Optional) 5</t>
  </si>
  <si>
    <t>What value was obtained? 4</t>
  </si>
  <si>
    <t>Which quality checkpoints did you use during library preparation? (Optional) 4</t>
  </si>
  <si>
    <t>What value was obtained? 3</t>
  </si>
  <si>
    <t>Which quality checkpoints did you use during library preparation? (Optional) 3</t>
  </si>
  <si>
    <t>What value was obtained?2</t>
  </si>
  <si>
    <t>Which quality checkpoints did you use during library preparation? (Optional)2</t>
  </si>
  <si>
    <t xml:space="preserve">What value was obtained? </t>
  </si>
  <si>
    <t xml:space="preserve">Which quality checkpoints did you use during library preparation? (Optional) </t>
  </si>
  <si>
    <t>If automated, what platform did you use for library preparation automation?</t>
  </si>
  <si>
    <t>Library Prep kit name</t>
  </si>
  <si>
    <t xml:space="preserve">Identify the sequencing approach used for each sample </t>
  </si>
  <si>
    <t xml:space="preserve">How many freeze/thaws was the sample subjected to prior to sequencing ? </t>
  </si>
  <si>
    <t xml:space="preserve">What method was used to determine purity? (Optional) </t>
  </si>
  <si>
    <t>If the purity of RNA was measured after sample receipt, what was the value? (Optional)</t>
  </si>
  <si>
    <t xml:space="preserve">What method was used for quantification? (Optional) </t>
  </si>
  <si>
    <t>If RNA was measured after sample receipt (for example, estimated copies/uL or Ct values), what was the quantification? (Optional)</t>
  </si>
  <si>
    <t>If RNA extraction was performed by your lab, what protocol/kit would you have used?</t>
  </si>
  <si>
    <t>Date RNA received?</t>
  </si>
  <si>
    <t xml:space="preserve">Sample ID (add your laboratory's name extension in place of "submittername") </t>
  </si>
  <si>
    <t>Virus Preparation</t>
  </si>
  <si>
    <t>Manifest Name</t>
  </si>
  <si>
    <t>Name</t>
  </si>
  <si>
    <t>Sequencing Run</t>
  </si>
  <si>
    <t xml:space="preserve">Library Preparation </t>
  </si>
  <si>
    <t>Sample Receipt and Preparation</t>
  </si>
  <si>
    <t xml:space="preserve">Sample Identifiers </t>
  </si>
  <si>
    <t>PacBioSequel System</t>
  </si>
  <si>
    <t>PacBio RSII</t>
  </si>
  <si>
    <t>GridION</t>
  </si>
  <si>
    <t>MK1C</t>
  </si>
  <si>
    <t>MinIon</t>
  </si>
  <si>
    <t>Ion Torrent Proton</t>
  </si>
  <si>
    <t>Metagenomic approach</t>
  </si>
  <si>
    <t>Ion Torrent S5</t>
  </si>
  <si>
    <t>SARS-CoV-2/RSV</t>
  </si>
  <si>
    <t>Other</t>
  </si>
  <si>
    <t>Ion Torren PGM</t>
  </si>
  <si>
    <t>SARS-CoV-2/influenza</t>
  </si>
  <si>
    <t xml:space="preserve">Fragment analysis (libraries) </t>
  </si>
  <si>
    <t>Illumian NovaSeq</t>
  </si>
  <si>
    <t>Influenza/RSV protocol</t>
  </si>
  <si>
    <t>Fragment analysis (amplicons)</t>
  </si>
  <si>
    <t>Illumina NextSeq</t>
  </si>
  <si>
    <t>Broad respiratory</t>
  </si>
  <si>
    <t xml:space="preserve">Final pooled library quantification </t>
  </si>
  <si>
    <t>Illumina MiSeq i100</t>
  </si>
  <si>
    <t>SARS-CoV-2 specific</t>
  </si>
  <si>
    <t xml:space="preserve">Individual library quantification </t>
  </si>
  <si>
    <t>Illumina MiSeq</t>
  </si>
  <si>
    <t>RSV specific</t>
  </si>
  <si>
    <t>cDNA quantification</t>
  </si>
  <si>
    <t>Illumina Miniseq</t>
  </si>
  <si>
    <t>Influenza specific</t>
  </si>
  <si>
    <t>Quality checkpoints</t>
  </si>
  <si>
    <t>Which approach was used for sequencing?</t>
  </si>
  <si>
    <t>Corrected Name</t>
  </si>
  <si>
    <t>MIX1-A_1469-777_1-500</t>
  </si>
  <si>
    <t>MIX1-B_1469-777_1-100</t>
  </si>
  <si>
    <t>MIX1-C_1469-777_1-25</t>
  </si>
  <si>
    <t>MIX3-A_1540-1469_2000-1</t>
  </si>
  <si>
    <t>MIX3-B_1540-1469_500-1</t>
  </si>
  <si>
    <t>MIX3-C_1540-1469_125-1</t>
  </si>
  <si>
    <t>MIX4-A_1540-1469_4-1</t>
  </si>
  <si>
    <t>MIX4-B_1540-1469_1-1</t>
  </si>
  <si>
    <t>MIX4-C_1540-1469_1-4</t>
  </si>
  <si>
    <t>Naming Scheme: We recommend naming your files with a concatenation of the Sample ID, reference used, and your submitter abbreviation - separated by an underscore. If you populate "Submitter Name For Files" and "Assembly Filename Extension", this sheet will pre-generate that for you. Or, deviate from this schema as necessary for your processes</t>
  </si>
  <si>
    <t>MIX4-C_1469-777_1-1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</si>
</sst>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u/>
      <sz val="10"/>
      <color rgb="FF1155CC"/>
      <name val="Arial"/>
      <family val="2"/>
    </font>
    <font>
      <sz val="10"/>
      <color rgb="FF000000"/>
      <name val="Roboto"/>
    </font>
    <font>
      <sz val="10"/>
      <color theme="1"/>
      <name val="Arial"/>
      <family val="2"/>
    </font>
    <font>
      <u/>
      <sz val="10"/>
      <color rgb="FF1155CC"/>
      <name val="Arial"/>
      <family val="2"/>
    </font>
    <font>
      <sz val="10"/>
      <color rgb="FF000000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name val="Arial"/>
      <family val="2"/>
      <scheme val="minor"/>
    </font>
    <font>
      <b/>
      <sz val="11"/>
      <color rgb="FF000000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56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DDDDDD"/>
      </left>
      <right style="thin">
        <color rgb="FFDDDDDD"/>
      </right>
      <top/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 style="thick">
        <color rgb="FF000000"/>
      </left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38">
    <xf numFmtId="0" fontId="0" fillId="0" borderId="0" xfId="0"/>
    <xf numFmtId="0" fontId="2" fillId="0" borderId="0" xfId="0" applyFont="1"/>
    <xf numFmtId="0" fontId="2" fillId="2" borderId="1" xfId="0" applyFont="1" applyFill="1" applyBorder="1"/>
    <xf numFmtId="0" fontId="2" fillId="3" borderId="3" xfId="0" applyFont="1" applyFill="1" applyBorder="1"/>
    <xf numFmtId="0" fontId="2" fillId="3" borderId="4" xfId="0" applyFont="1" applyFill="1" applyBorder="1"/>
    <xf numFmtId="0" fontId="2" fillId="0" borderId="5" xfId="0" applyFont="1" applyBorder="1"/>
    <xf numFmtId="0" fontId="2" fillId="3" borderId="0" xfId="0" applyFont="1" applyFill="1"/>
    <xf numFmtId="0" fontId="2" fillId="3" borderId="7" xfId="0" applyFont="1" applyFill="1" applyBorder="1"/>
    <xf numFmtId="0" fontId="2" fillId="0" borderId="0" xfId="0" applyFont="1" applyAlignment="1">
      <alignment vertical="center"/>
    </xf>
    <xf numFmtId="0" fontId="2" fillId="2" borderId="1" xfId="0" applyFont="1" applyFill="1" applyBorder="1" applyAlignment="1">
      <alignment vertical="center"/>
    </xf>
    <xf numFmtId="0" fontId="2" fillId="2" borderId="8" xfId="0" applyFont="1" applyFill="1" applyBorder="1" applyAlignment="1">
      <alignment vertical="center"/>
    </xf>
    <xf numFmtId="0" fontId="2" fillId="3" borderId="3" xfId="0" applyFont="1" applyFill="1" applyBorder="1" applyAlignment="1">
      <alignment wrapText="1"/>
    </xf>
    <xf numFmtId="0" fontId="2" fillId="3" borderId="0" xfId="0" applyFont="1" applyFill="1" applyAlignment="1">
      <alignment wrapText="1"/>
    </xf>
    <xf numFmtId="0" fontId="2" fillId="0" borderId="9" xfId="0" applyFont="1" applyBorder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10" xfId="0" applyFont="1" applyBorder="1"/>
    <xf numFmtId="0" fontId="4" fillId="0" borderId="10" xfId="0" applyFont="1" applyBorder="1"/>
    <xf numFmtId="0" fontId="5" fillId="0" borderId="10" xfId="0" applyFont="1" applyBorder="1"/>
    <xf numFmtId="0" fontId="5" fillId="4" borderId="10" xfId="0" applyFont="1" applyFill="1" applyBorder="1"/>
    <xf numFmtId="0" fontId="7" fillId="4" borderId="10" xfId="0" applyFont="1" applyFill="1" applyBorder="1"/>
    <xf numFmtId="0" fontId="4" fillId="0" borderId="11" xfId="0" applyFont="1" applyBorder="1"/>
    <xf numFmtId="0" fontId="8" fillId="0" borderId="12" xfId="0" applyFont="1" applyBorder="1"/>
    <xf numFmtId="0" fontId="8" fillId="0" borderId="13" xfId="0" applyFont="1" applyBorder="1"/>
    <xf numFmtId="0" fontId="9" fillId="0" borderId="10" xfId="0" applyFont="1" applyBorder="1"/>
    <xf numFmtId="0" fontId="5" fillId="0" borderId="11" xfId="0" applyFont="1" applyBorder="1"/>
    <xf numFmtId="0" fontId="2" fillId="0" borderId="14" xfId="0" applyFont="1" applyBorder="1"/>
    <xf numFmtId="0" fontId="4" fillId="0" borderId="14" xfId="0" applyFont="1" applyBorder="1"/>
    <xf numFmtId="0" fontId="5" fillId="0" borderId="14" xfId="0" applyFont="1" applyBorder="1"/>
    <xf numFmtId="0" fontId="7" fillId="4" borderId="14" xfId="0" applyFont="1" applyFill="1" applyBorder="1"/>
    <xf numFmtId="0" fontId="4" fillId="4" borderId="14" xfId="0" applyFont="1" applyFill="1" applyBorder="1"/>
    <xf numFmtId="0" fontId="2" fillId="0" borderId="17" xfId="0" applyFont="1" applyBorder="1"/>
    <xf numFmtId="0" fontId="10" fillId="5" borderId="17" xfId="0" applyFont="1" applyFill="1" applyBorder="1" applyAlignment="1">
      <alignment vertical="center" wrapText="1"/>
    </xf>
    <xf numFmtId="0" fontId="5" fillId="0" borderId="18" xfId="0" applyFont="1" applyBorder="1"/>
    <xf numFmtId="0" fontId="4" fillId="0" borderId="17" xfId="0" applyFont="1" applyBorder="1"/>
    <xf numFmtId="0" fontId="5" fillId="0" borderId="17" xfId="0" applyFont="1" applyBorder="1"/>
    <xf numFmtId="0" fontId="10" fillId="5" borderId="19" xfId="0" applyFont="1" applyFill="1" applyBorder="1" applyAlignment="1">
      <alignment vertical="center" wrapText="1"/>
    </xf>
    <xf numFmtId="0" fontId="11" fillId="0" borderId="19" xfId="0" applyFont="1" applyBorder="1"/>
    <xf numFmtId="0" fontId="4" fillId="0" borderId="19" xfId="0" applyFont="1" applyBorder="1"/>
    <xf numFmtId="0" fontId="5" fillId="0" borderId="19" xfId="0" applyFont="1" applyBorder="1"/>
    <xf numFmtId="0" fontId="2" fillId="0" borderId="20" xfId="0" applyFont="1" applyBorder="1"/>
    <xf numFmtId="0" fontId="10" fillId="5" borderId="20" xfId="0" applyFont="1" applyFill="1" applyBorder="1" applyAlignment="1">
      <alignment vertical="center" wrapText="1"/>
    </xf>
    <xf numFmtId="0" fontId="4" fillId="0" borderId="20" xfId="0" applyFont="1" applyBorder="1"/>
    <xf numFmtId="0" fontId="5" fillId="0" borderId="20" xfId="0" applyFont="1" applyBorder="1"/>
    <xf numFmtId="0" fontId="0" fillId="0" borderId="17" xfId="0" applyBorder="1"/>
    <xf numFmtId="0" fontId="11" fillId="0" borderId="20" xfId="0" applyFont="1" applyBorder="1"/>
    <xf numFmtId="0" fontId="0" fillId="0" borderId="20" xfId="0" applyBorder="1"/>
    <xf numFmtId="0" fontId="11" fillId="0" borderId="17" xfId="0" applyFont="1" applyBorder="1"/>
    <xf numFmtId="0" fontId="2" fillId="2" borderId="21" xfId="0" applyFont="1" applyFill="1" applyBorder="1"/>
    <xf numFmtId="0" fontId="2" fillId="2" borderId="22" xfId="0" applyFont="1" applyFill="1" applyBorder="1"/>
    <xf numFmtId="0" fontId="2" fillId="2" borderId="23" xfId="0" applyFont="1" applyFill="1" applyBorder="1"/>
    <xf numFmtId="0" fontId="2" fillId="0" borderId="24" xfId="0" applyFont="1" applyBorder="1"/>
    <xf numFmtId="0" fontId="4" fillId="0" borderId="16" xfId="0" applyFont="1" applyBorder="1"/>
    <xf numFmtId="0" fontId="4" fillId="0" borderId="25" xfId="0" applyFont="1" applyBorder="1"/>
    <xf numFmtId="0" fontId="2" fillId="0" borderId="26" xfId="0" applyFont="1" applyBorder="1"/>
    <xf numFmtId="0" fontId="4" fillId="0" borderId="27" xfId="0" applyFont="1" applyBorder="1"/>
    <xf numFmtId="0" fontId="2" fillId="0" borderId="28" xfId="0" applyFont="1" applyBorder="1"/>
    <xf numFmtId="0" fontId="2" fillId="0" borderId="29" xfId="0" applyFont="1" applyBorder="1"/>
    <xf numFmtId="0" fontId="2" fillId="0" borderId="16" xfId="0" applyFont="1" applyBorder="1"/>
    <xf numFmtId="0" fontId="4" fillId="0" borderId="29" xfId="0" applyFont="1" applyBorder="1"/>
    <xf numFmtId="0" fontId="7" fillId="4" borderId="27" xfId="0" applyFont="1" applyFill="1" applyBorder="1"/>
    <xf numFmtId="0" fontId="2" fillId="0" borderId="27" xfId="0" applyFont="1" applyBorder="1"/>
    <xf numFmtId="0" fontId="2" fillId="0" borderId="30" xfId="0" applyFont="1" applyBorder="1"/>
    <xf numFmtId="0" fontId="2" fillId="0" borderId="31" xfId="0" applyFont="1" applyBorder="1"/>
    <xf numFmtId="0" fontId="10" fillId="5" borderId="31" xfId="0" applyFont="1" applyFill="1" applyBorder="1" applyAlignment="1">
      <alignment vertical="center" wrapText="1"/>
    </xf>
    <xf numFmtId="0" fontId="4" fillId="0" borderId="31" xfId="0" applyFont="1" applyBorder="1"/>
    <xf numFmtId="0" fontId="1" fillId="0" borderId="0" xfId="1"/>
    <xf numFmtId="0" fontId="13" fillId="0" borderId="0" xfId="1" applyFont="1" applyAlignment="1">
      <alignment wrapText="1"/>
    </xf>
    <xf numFmtId="0" fontId="1" fillId="0" borderId="0" xfId="1" applyAlignment="1">
      <alignment wrapText="1"/>
    </xf>
    <xf numFmtId="0" fontId="14" fillId="0" borderId="33" xfId="1" applyFont="1" applyBorder="1" applyAlignment="1">
      <alignment vertical="center" wrapText="1"/>
    </xf>
    <xf numFmtId="0" fontId="15" fillId="0" borderId="33" xfId="1" applyFont="1" applyBorder="1" applyAlignment="1">
      <alignment vertical="center" wrapText="1"/>
    </xf>
    <xf numFmtId="0" fontId="1" fillId="0" borderId="17" xfId="1" applyBorder="1" applyAlignment="1">
      <alignment wrapText="1"/>
    </xf>
    <xf numFmtId="0" fontId="1" fillId="0" borderId="19" xfId="1" applyBorder="1" applyAlignment="1">
      <alignment wrapText="1"/>
    </xf>
    <xf numFmtId="0" fontId="2" fillId="0" borderId="34" xfId="0" applyFont="1" applyBorder="1"/>
    <xf numFmtId="0" fontId="1" fillId="0" borderId="42" xfId="1" applyBorder="1"/>
    <xf numFmtId="0" fontId="16" fillId="5" borderId="28" xfId="1" applyFont="1" applyFill="1" applyBorder="1" applyAlignment="1">
      <alignment vertical="center" wrapText="1"/>
    </xf>
    <xf numFmtId="0" fontId="16" fillId="5" borderId="0" xfId="1" applyFont="1" applyFill="1" applyAlignment="1">
      <alignment vertical="center" wrapText="1"/>
    </xf>
    <xf numFmtId="0" fontId="16" fillId="8" borderId="0" xfId="1" applyFont="1" applyFill="1" applyAlignment="1">
      <alignment vertical="center" wrapText="1"/>
    </xf>
    <xf numFmtId="0" fontId="16" fillId="7" borderId="0" xfId="1" applyFont="1" applyFill="1" applyAlignment="1">
      <alignment vertical="center" wrapText="1"/>
    </xf>
    <xf numFmtId="0" fontId="16" fillId="6" borderId="0" xfId="1" applyFont="1" applyFill="1" applyAlignment="1">
      <alignment vertical="center" wrapText="1"/>
    </xf>
    <xf numFmtId="0" fontId="16" fillId="6" borderId="43" xfId="1" applyFont="1" applyFill="1" applyBorder="1" applyAlignment="1">
      <alignment vertical="center" wrapText="1"/>
    </xf>
    <xf numFmtId="0" fontId="1" fillId="0" borderId="28" xfId="1" applyBorder="1"/>
    <xf numFmtId="0" fontId="14" fillId="0" borderId="0" xfId="1" applyFont="1" applyAlignment="1">
      <alignment vertical="center" wrapText="1"/>
    </xf>
    <xf numFmtId="0" fontId="1" fillId="0" borderId="43" xfId="1" applyBorder="1"/>
    <xf numFmtId="0" fontId="15" fillId="0" borderId="0" xfId="1" applyFont="1" applyAlignment="1">
      <alignment wrapText="1"/>
    </xf>
    <xf numFmtId="0" fontId="15" fillId="0" borderId="0" xfId="1" applyFont="1" applyAlignment="1">
      <alignment vertical="center" wrapText="1"/>
    </xf>
    <xf numFmtId="0" fontId="1" fillId="0" borderId="24" xfId="1" applyBorder="1"/>
    <xf numFmtId="0" fontId="1" fillId="0" borderId="44" xfId="1" applyBorder="1"/>
    <xf numFmtId="0" fontId="1" fillId="0" borderId="30" xfId="1" applyBorder="1"/>
    <xf numFmtId="0" fontId="1" fillId="0" borderId="31" xfId="1" applyBorder="1" applyAlignment="1">
      <alignment wrapText="1"/>
    </xf>
    <xf numFmtId="0" fontId="1" fillId="0" borderId="45" xfId="1" applyBorder="1"/>
    <xf numFmtId="0" fontId="14" fillId="0" borderId="31" xfId="1" applyFont="1" applyBorder="1" applyAlignment="1">
      <alignment vertical="center" wrapText="1"/>
    </xf>
    <xf numFmtId="0" fontId="1" fillId="0" borderId="31" xfId="1" applyBorder="1"/>
    <xf numFmtId="0" fontId="14" fillId="0" borderId="46" xfId="1" applyFont="1" applyBorder="1" applyAlignment="1">
      <alignment vertical="center" wrapText="1"/>
    </xf>
    <xf numFmtId="0" fontId="10" fillId="5" borderId="0" xfId="0" applyFont="1" applyFill="1" applyAlignment="1">
      <alignment vertical="center" wrapText="1"/>
    </xf>
    <xf numFmtId="0" fontId="0" fillId="0" borderId="27" xfId="0" applyBorder="1"/>
    <xf numFmtId="0" fontId="0" fillId="0" borderId="29" xfId="0" applyBorder="1"/>
    <xf numFmtId="0" fontId="0" fillId="0" borderId="16" xfId="0" applyBorder="1"/>
    <xf numFmtId="0" fontId="0" fillId="0" borderId="31" xfId="0" applyBorder="1"/>
    <xf numFmtId="0" fontId="0" fillId="0" borderId="15" xfId="0" applyBorder="1"/>
    <xf numFmtId="0" fontId="11" fillId="0" borderId="0" xfId="0" applyFont="1"/>
    <xf numFmtId="0" fontId="2" fillId="2" borderId="47" xfId="0" applyFont="1" applyFill="1" applyBorder="1"/>
    <xf numFmtId="0" fontId="2" fillId="2" borderId="48" xfId="0" applyFont="1" applyFill="1" applyBorder="1"/>
    <xf numFmtId="0" fontId="2" fillId="2" borderId="32" xfId="0" applyFont="1" applyFill="1" applyBorder="1"/>
    <xf numFmtId="0" fontId="2" fillId="0" borderId="0" xfId="0" applyFont="1" applyAlignment="1">
      <alignment wrapText="1"/>
    </xf>
    <xf numFmtId="0" fontId="0" fillId="0" borderId="0" xfId="0"/>
    <xf numFmtId="0" fontId="2" fillId="2" borderId="1" xfId="0" applyFont="1" applyFill="1" applyBorder="1"/>
    <xf numFmtId="0" fontId="3" fillId="0" borderId="2" xfId="0" applyFont="1" applyBorder="1"/>
    <xf numFmtId="0" fontId="2" fillId="0" borderId="5" xfId="0" applyFont="1" applyBorder="1"/>
    <xf numFmtId="0" fontId="3" fillId="0" borderId="6" xfId="0" applyFont="1" applyBorder="1"/>
    <xf numFmtId="0" fontId="2" fillId="0" borderId="34" xfId="0" applyFont="1" applyBorder="1"/>
    <xf numFmtId="0" fontId="3" fillId="0" borderId="35" xfId="0" applyFont="1" applyBorder="1"/>
    <xf numFmtId="0" fontId="13" fillId="0" borderId="39" xfId="1" applyFont="1" applyBorder="1" applyAlignment="1">
      <alignment horizontal="center"/>
    </xf>
    <xf numFmtId="0" fontId="13" fillId="0" borderId="40" xfId="1" applyFont="1" applyBorder="1" applyAlignment="1">
      <alignment horizontal="center"/>
    </xf>
    <xf numFmtId="0" fontId="13" fillId="0" borderId="41" xfId="1" applyFont="1" applyBorder="1" applyAlignment="1">
      <alignment horizontal="center"/>
    </xf>
    <xf numFmtId="0" fontId="13" fillId="0" borderId="36" xfId="1" applyFont="1" applyBorder="1" applyAlignment="1">
      <alignment horizontal="center"/>
    </xf>
    <xf numFmtId="0" fontId="13" fillId="0" borderId="37" xfId="1" applyFont="1" applyBorder="1" applyAlignment="1">
      <alignment horizontal="center"/>
    </xf>
    <xf numFmtId="0" fontId="13" fillId="0" borderId="38" xfId="1" applyFont="1" applyBorder="1" applyAlignment="1">
      <alignment horizontal="center"/>
    </xf>
    <xf numFmtId="0" fontId="2" fillId="0" borderId="0" xfId="0" applyFont="1" applyBorder="1"/>
    <xf numFmtId="0" fontId="4" fillId="0" borderId="0" xfId="0" applyFont="1" applyBorder="1"/>
    <xf numFmtId="0" fontId="5" fillId="0" borderId="0" xfId="0" applyFont="1" applyBorder="1"/>
    <xf numFmtId="0" fontId="2" fillId="0" borderId="32" xfId="0" applyFont="1" applyBorder="1"/>
    <xf numFmtId="0" fontId="4" fillId="0" borderId="49" xfId="0" applyFont="1" applyBorder="1"/>
    <xf numFmtId="0" fontId="5" fillId="4" borderId="0" xfId="0" applyFont="1" applyFill="1" applyBorder="1"/>
    <xf numFmtId="0" fontId="7" fillId="4" borderId="0" xfId="0" applyFont="1" applyFill="1" applyBorder="1"/>
    <xf numFmtId="0" fontId="7" fillId="4" borderId="29" xfId="0" applyFont="1" applyFill="1" applyBorder="1"/>
    <xf numFmtId="0" fontId="0" fillId="0" borderId="0" xfId="0" applyBorder="1"/>
    <xf numFmtId="0" fontId="2" fillId="0" borderId="49" xfId="0" applyFont="1" applyBorder="1"/>
    <xf numFmtId="0" fontId="6" fillId="0" borderId="0" xfId="0" applyFont="1" applyBorder="1"/>
    <xf numFmtId="0" fontId="2" fillId="0" borderId="50" xfId="0" applyFont="1" applyBorder="1"/>
    <xf numFmtId="0" fontId="2" fillId="0" borderId="51" xfId="0" applyFont="1" applyBorder="1"/>
    <xf numFmtId="0" fontId="2" fillId="0" borderId="52" xfId="0" applyFont="1" applyBorder="1"/>
    <xf numFmtId="0" fontId="2" fillId="0" borderId="53" xfId="0" applyFont="1" applyBorder="1"/>
    <xf numFmtId="0" fontId="4" fillId="4" borderId="53" xfId="0" applyFont="1" applyFill="1" applyBorder="1"/>
    <xf numFmtId="0" fontId="5" fillId="0" borderId="53" xfId="0" applyFont="1" applyBorder="1"/>
    <xf numFmtId="0" fontId="2" fillId="0" borderId="54" xfId="0" applyFont="1" applyBorder="1"/>
    <xf numFmtId="0" fontId="2" fillId="0" borderId="55" xfId="0" applyFont="1" applyBorder="1"/>
  </cellXfs>
  <cellStyles count="2">
    <cellStyle name="Normal" xfId="0" builtinId="0"/>
    <cellStyle name="Normal 2" xfId="1" xr:uid="{2CB2152C-1F47-4F87-878B-CDEEE0D6AAFE}"/>
  </cellStyles>
  <dxfs count="4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name val="Arial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name val="Arial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name val="Arial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name val="Arial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name val="Arial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name val="Arial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name val="Arial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name val="Arial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name val="Arial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name val="Arial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name val="Arial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name val="Arial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82613"/>
        <name val="Arial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minor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BCD0DBC-BA7D-4DB9-B398-85465B3798B2}" name="Table1" displayName="Table1" ref="B7:AO28" totalsRowShown="0" headerRowDxfId="41" dataDxfId="40">
  <autoFilter ref="B7:AO28" xr:uid="{8313F195-D4FF-4FE7-AC96-1023929E23A5}"/>
  <tableColumns count="40">
    <tableColumn id="1" xr3:uid="{1EA59E21-9943-4F5D-931E-3D8DBE44B2AB}" name="Name" dataDxfId="39"/>
    <tableColumn id="2" xr3:uid="{B7F8AD54-3B88-4242-BAFC-ECFD4EC1EFF7}" name="Manifest Name" dataDxfId="38"/>
    <tableColumn id="12" xr3:uid="{243D7A91-EFB8-334E-826E-00781D7FA3C1}" name="Corrected Name" dataDxfId="37" dataCellStyle="Normal 2"/>
    <tableColumn id="3" xr3:uid="{C3C36E7B-A6BA-4265-84FB-832CF522BCED}" name="Virus Preparation" dataDxfId="36"/>
    <tableColumn id="4" xr3:uid="{6B8F35AE-DC40-455B-8854-0E657F1F1AC3}" name="Sample ID (add your laboratory's name extension in place of &quot;submittername&quot;) " dataDxfId="35">
      <calculatedColumnFormula>D8 &amp; "_" &amp; $B$5</calculatedColumnFormula>
    </tableColumn>
    <tableColumn id="18" xr3:uid="{8065C9BE-5123-42F9-A113-6535472F2355}" name="Date RNA received?" dataDxfId="34"/>
    <tableColumn id="9" xr3:uid="{46BFBA35-4B05-459E-95FB-3A60F9AA1BF3}" name="If RNA extraction was performed by your lab, what protocol/kit would you have used?" dataDxfId="33"/>
    <tableColumn id="19" xr3:uid="{BA7B0FC5-649E-421E-B411-39CB1E632545}" name="If RNA was measured after sample receipt (for example, estimated copies/uL or Ct values), what was the quantification? (Optional)" dataDxfId="32"/>
    <tableColumn id="17" xr3:uid="{C6A9ADC1-0AE3-40C8-A27C-5613379E421B}" name="What method was used for quantification? (Optional) " dataDxfId="31"/>
    <tableColumn id="13" xr3:uid="{D822979B-DD28-4126-A29F-9899801ACA76}" name="If the purity of RNA was measured after sample receipt, what was the value? (Optional)" dataDxfId="30"/>
    <tableColumn id="21" xr3:uid="{E1F93C70-35B7-4167-822B-142072A58C2B}" name="What method was used to determine purity? (Optional) " dataDxfId="29"/>
    <tableColumn id="14" xr3:uid="{9797C70B-7D87-41FB-AEF0-E631F6F78E31}" name="How many freeze/thaws was the sample subjected to prior to sequencing ? " dataDxfId="28"/>
    <tableColumn id="11" xr3:uid="{B9C6F274-335F-4D5B-9711-66E21601F295}" name="Identify the sequencing approach used for each sample " dataDxfId="27"/>
    <tableColumn id="10" xr3:uid="{01926F94-D17E-4799-81D6-D6A780F53933}" name="Library Prep kit name" dataDxfId="26"/>
    <tableColumn id="30" xr3:uid="{19CA80CA-E590-4F44-B547-21FE73E111A6}" name="If automated, what platform did you use for library preparation automation?" dataDxfId="25"/>
    <tableColumn id="32" xr3:uid="{2EB247C9-648C-4F94-84CA-4D298FF0642D}" name="Which quality checkpoints did you use during library preparation? (Optional) " dataDxfId="24"/>
    <tableColumn id="15" xr3:uid="{BF5711D7-E397-4374-A1DD-C0B3B27F0C81}" name="What value was obtained? " dataDxfId="23"/>
    <tableColumn id="6" xr3:uid="{29B9703A-B3D9-4A98-AEC2-38C72EE55011}" name="Which quality checkpoints did you use during library preparation? (Optional)2" dataDxfId="22"/>
    <tableColumn id="24" xr3:uid="{9E3857A3-F3EF-45D6-B71F-8103340ED931}" name="What value was obtained?2" dataDxfId="21"/>
    <tableColumn id="23" xr3:uid="{0CE0C105-577E-4ECE-8C1A-27DB146857ED}" name="Which quality checkpoints did you use during library preparation? (Optional) 3" dataDxfId="20"/>
    <tableColumn id="22" xr3:uid="{27FF3F75-5D4F-4013-9114-C53284794220}" name="What value was obtained? 3" dataDxfId="19"/>
    <tableColumn id="37" xr3:uid="{83A83EB4-5972-4ECF-B955-BBD2F7B7E6B4}" name="Which quality checkpoints did you use during library preparation? (Optional) 4" dataDxfId="18"/>
    <tableColumn id="34" xr3:uid="{56E3B5BE-DBF0-4D11-A2D9-CAD31CE3E67F}" name="What value was obtained? 4" dataDxfId="17"/>
    <tableColumn id="31" xr3:uid="{762324C9-FD09-41AC-A413-85A407E4752B}" name="Which quality checkpoints did you use during library preparation? (Optional) 5" dataDxfId="16"/>
    <tableColumn id="20" xr3:uid="{F822657F-7EC1-47AC-BC9E-51E68A9C6247}" name="What value was obtained? 5" dataDxfId="15"/>
    <tableColumn id="39" xr3:uid="{5D6BA27B-8C5A-4068-B23C-C3E67E2DCBC0}" name="Which quality checkpoints did you use during library preparation? (Optional) 6" dataDxfId="14"/>
    <tableColumn id="38" xr3:uid="{C813C3DD-F370-44A2-B65E-823EA16554C9}" name="What value was obtained? 6" dataDxfId="13"/>
    <tableColumn id="29" xr3:uid="{855B323C-9F4A-4692-A0DE-470C2C763373}" name="Date sequenced? " dataDxfId="12"/>
    <tableColumn id="16" xr3:uid="{E1668DF0-FADA-480F-AED5-89A3EAD5C386}" name="Which sequencing platform did you use?" dataDxfId="11"/>
    <tableColumn id="35" xr3:uid="{CB4E7780-CE21-4153-B9E1-2812E759324F}" name="Single or paired end? " dataDxfId="10"/>
    <tableColumn id="33" xr3:uid="{C45B7FEA-C212-4C47-9179-FA9FBAB47065}" name="Expected read length? " dataDxfId="9"/>
    <tableColumn id="36" xr3:uid="{0D7F1C48-4567-43AD-A9F8-21B3F0E1B298}" name="What is the total sequencing capacity of a typical WGS run that includes libraries for this pathogen?  (i.e. What is the genome load or number of libraries in a typical respiratory pathogen sequencing run?)" dataDxfId="8"/>
    <tableColumn id="41" xr3:uid="{53855BC7-3009-4415-BC1B-5A32F6666D2E}" name="What was the total number of samples run with this sample material? " dataDxfId="7"/>
    <tableColumn id="5" xr3:uid="{C95A63FE-8B2E-4596-B6A2-466742C2AC9E}" name="If QC materials (i.e., other positive control ATCC strains, negative controls, etc.) were included in the sequencing run, please list them (Optional) " dataDxfId="6"/>
    <tableColumn id="25" xr3:uid="{3F5F757D-9F0B-4F9B-BBD8-EBD193E276B9}" name="Did you laboratory perform an LOD performance verification that included this sample? (Optional) " dataDxfId="5"/>
    <tableColumn id="26" xr3:uid="{44BCE9F5-E51E-4A6A-8990-8D3EEAFB2090}" name="If yes, what is the estimated LOD for the method? (Optional) " dataDxfId="4"/>
    <tableColumn id="8" xr3:uid="{EAA0A301-1182-4AC9-9181-0974265554C0}" name="Does your laboratory have acceptability criteria for sequencing run metrics?" dataDxfId="3"/>
    <tableColumn id="40" xr3:uid="{2AB5CCD4-822E-4CC2-924F-968807D8D191}" name="Please describe the run-level metrics evaluated" dataDxfId="2"/>
    <tableColumn id="27" xr3:uid="{0F3D2F86-39B8-4A27-81EB-65930C4B9CE8}" name="Did the sequencing run including this sample pass the run-level metrics? " dataDxfId="1"/>
    <tableColumn id="7" xr3:uid="{9AA21B4D-14C8-4A50-8CB0-EB8AA993BB89}" name="Please provide a link (protocols.io, GitHub, OneDrive, etc.) to the protocol used for library prep, if available" dataDxfId="0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974548-0F66-4C8A-A62E-680285118A82}" name="Table2" displayName="Table2" ref="A1:C14" totalsRowShown="0">
  <autoFilter ref="A1:C14" xr:uid="{FAED342A-4D28-4216-866C-D8271E8DD1A0}"/>
  <tableColumns count="3">
    <tableColumn id="1" xr3:uid="{2DCAA39C-BF93-4D0F-9146-2C6B576252F4}" name="Which approach was used for sequencing?"/>
    <tableColumn id="3" xr3:uid="{4CFB689E-D163-48CA-994B-5B3C52FA41AB}" name="Which sequencing platform did you use?"/>
    <tableColumn id="4" xr3:uid="{88C942AC-978A-4CBE-B90D-5C3AACE87D49}" name="Quality checkpoint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 summaryRight="0"/>
  </sheetPr>
  <dimension ref="A1:U130"/>
  <sheetViews>
    <sheetView topLeftCell="A83" workbookViewId="0">
      <selection activeCell="C11" sqref="C11"/>
    </sheetView>
  </sheetViews>
  <sheetFormatPr baseColWidth="10" defaultColWidth="12.5" defaultRowHeight="15.75" customHeight="1" x14ac:dyDescent="0.15"/>
  <cols>
    <col min="1" max="1" width="2.83203125" customWidth="1"/>
    <col min="2" max="3" width="54.6640625" customWidth="1"/>
    <col min="4" max="4" width="11.83203125" customWidth="1"/>
    <col min="5" max="5" width="22.5" customWidth="1"/>
    <col min="6" max="6" width="13" customWidth="1"/>
    <col min="7" max="7" width="7.33203125" customWidth="1"/>
    <col min="8" max="8" width="16.33203125" customWidth="1"/>
    <col min="9" max="9" width="14.1640625" customWidth="1"/>
    <col min="10" max="10" width="18" customWidth="1"/>
    <col min="11" max="11" width="49.33203125" customWidth="1"/>
    <col min="12" max="12" width="45.5" customWidth="1"/>
    <col min="13" max="13" width="20.5" customWidth="1"/>
    <col min="14" max="14" width="34.5" customWidth="1"/>
  </cols>
  <sheetData>
    <row r="1" spans="1:21" ht="13" x14ac:dyDescent="0.15">
      <c r="A1" s="1"/>
      <c r="B1" s="105" t="s">
        <v>0</v>
      </c>
      <c r="C1" s="106"/>
      <c r="D1" s="106"/>
      <c r="E1" s="106"/>
      <c r="F1" s="106"/>
      <c r="G1" s="106"/>
      <c r="H1" s="106"/>
      <c r="I1" s="106"/>
    </row>
    <row r="2" spans="1:21" ht="13" x14ac:dyDescent="0.15">
      <c r="A2" s="1"/>
      <c r="B2" s="2" t="s">
        <v>1</v>
      </c>
      <c r="C2" s="2" t="s">
        <v>2</v>
      </c>
      <c r="D2" s="107" t="s">
        <v>3</v>
      </c>
      <c r="E2" s="108"/>
      <c r="F2" s="3"/>
      <c r="G2" s="3"/>
      <c r="H2" s="3"/>
      <c r="I2" s="3"/>
      <c r="J2" s="3"/>
      <c r="K2" s="3"/>
      <c r="L2" s="3"/>
      <c r="M2" s="3"/>
      <c r="N2" s="4"/>
    </row>
    <row r="3" spans="1:21" ht="24.75" customHeight="1" thickBot="1" x14ac:dyDescent="0.2">
      <c r="A3" s="1"/>
      <c r="B3" s="5"/>
      <c r="C3" s="5"/>
      <c r="D3" s="109"/>
      <c r="E3" s="110"/>
      <c r="F3" s="6"/>
      <c r="G3" s="6"/>
      <c r="H3" s="6"/>
      <c r="I3" s="6"/>
      <c r="J3" s="6"/>
      <c r="K3" s="6"/>
      <c r="L3" s="6"/>
      <c r="M3" s="6"/>
      <c r="N3" s="7"/>
    </row>
    <row r="4" spans="1:21" ht="14" thickTop="1" x14ac:dyDescent="0.15">
      <c r="A4" s="8"/>
      <c r="B4" s="9" t="s">
        <v>4</v>
      </c>
      <c r="C4" s="10" t="s">
        <v>5</v>
      </c>
      <c r="D4" s="11"/>
      <c r="E4" s="12"/>
      <c r="F4" s="12"/>
      <c r="G4" s="12"/>
      <c r="H4" s="12"/>
      <c r="I4" s="12"/>
      <c r="J4" s="12"/>
      <c r="K4" s="6"/>
      <c r="L4" s="6"/>
      <c r="M4" s="6"/>
      <c r="N4" s="6"/>
      <c r="O4" s="7"/>
    </row>
    <row r="5" spans="1:21" ht="24.75" customHeight="1" thickBot="1" x14ac:dyDescent="0.2">
      <c r="A5" s="1"/>
      <c r="B5" s="13" t="s">
        <v>6</v>
      </c>
      <c r="C5" s="13" t="s">
        <v>7</v>
      </c>
      <c r="D5" s="12"/>
      <c r="E5" s="12"/>
      <c r="F5" s="12"/>
      <c r="G5" s="12"/>
      <c r="H5" s="12"/>
      <c r="I5" s="12"/>
      <c r="J5" s="12"/>
      <c r="K5" s="6"/>
      <c r="L5" s="6"/>
      <c r="M5" s="6"/>
      <c r="N5" s="6"/>
      <c r="O5" s="7"/>
    </row>
    <row r="6" spans="1:21" ht="13" x14ac:dyDescent="0.15">
      <c r="A6" s="1"/>
      <c r="B6" s="49" t="s">
        <v>8</v>
      </c>
      <c r="C6" s="50" t="s">
        <v>9</v>
      </c>
      <c r="D6" s="50" t="s">
        <v>10</v>
      </c>
      <c r="E6" s="50" t="s">
        <v>11</v>
      </c>
      <c r="F6" s="50" t="s">
        <v>12</v>
      </c>
      <c r="G6" s="50" t="s">
        <v>13</v>
      </c>
      <c r="H6" s="50" t="s">
        <v>14</v>
      </c>
      <c r="I6" s="50" t="s">
        <v>14</v>
      </c>
      <c r="J6" s="50" t="s">
        <v>15</v>
      </c>
      <c r="K6" s="50" t="s">
        <v>16</v>
      </c>
      <c r="L6" s="50" t="s">
        <v>17</v>
      </c>
      <c r="M6" s="50" t="s">
        <v>18</v>
      </c>
      <c r="N6" s="51" t="s">
        <v>19</v>
      </c>
    </row>
    <row r="7" spans="1:21" ht="13" x14ac:dyDescent="0.15">
      <c r="B7" s="57" t="str">
        <f>D7 &amp; "_" &amp; F7 &amp; "_" &amp; $B$5</f>
        <v>SRR28460520_NC_002204.1_submittername</v>
      </c>
      <c r="C7" s="119" t="str">
        <f>D7 &amp; "_" &amp; F7 &amp; "_" &amp; $B$5 &amp; "." &amp;  $C$5</f>
        <v>SRR28460520_NC_002204.1_submittername.fa</v>
      </c>
      <c r="D7" s="120" t="s">
        <v>20</v>
      </c>
      <c r="E7" s="120" t="s">
        <v>21</v>
      </c>
      <c r="F7" s="120" t="s">
        <v>22</v>
      </c>
      <c r="G7" s="120" t="s">
        <v>23</v>
      </c>
      <c r="H7" s="121" t="s">
        <v>24</v>
      </c>
      <c r="I7" s="121" t="s">
        <v>25</v>
      </c>
      <c r="J7" s="120"/>
      <c r="K7" s="120"/>
      <c r="L7" s="120"/>
      <c r="M7" s="120"/>
      <c r="N7" s="60"/>
      <c r="O7" s="14"/>
      <c r="P7" s="16"/>
      <c r="Q7" s="14"/>
      <c r="R7" s="14"/>
      <c r="S7" s="14"/>
      <c r="T7" s="14"/>
      <c r="U7" s="14"/>
    </row>
    <row r="8" spans="1:21" ht="13" x14ac:dyDescent="0.15">
      <c r="B8" s="57" t="str">
        <f t="shared" ref="B8:B71" si="0">D8 &amp; "_" &amp; F8 &amp; "_" &amp; $B$5</f>
        <v>SRR28460520_NC_002205.1_submittername</v>
      </c>
      <c r="C8" s="119" t="str">
        <f t="shared" ref="C8:C71" si="1">D8 &amp; "_" &amp; F8 &amp; "_" &amp; $B$5 &amp; "." &amp;  $C$5</f>
        <v>SRR28460520_NC_002205.1_submittername.fa</v>
      </c>
      <c r="D8" s="120" t="s">
        <v>20</v>
      </c>
      <c r="E8" s="120" t="s">
        <v>26</v>
      </c>
      <c r="F8" s="120" t="s">
        <v>27</v>
      </c>
      <c r="G8" s="120" t="s">
        <v>23</v>
      </c>
      <c r="H8" s="121" t="s">
        <v>24</v>
      </c>
      <c r="I8" s="121" t="s">
        <v>25</v>
      </c>
      <c r="J8" s="120"/>
      <c r="K8" s="120"/>
      <c r="L8" s="120"/>
      <c r="M8" s="120"/>
      <c r="N8" s="60"/>
      <c r="O8" s="14"/>
      <c r="P8" s="16"/>
      <c r="Q8" s="14"/>
      <c r="R8" s="14"/>
      <c r="S8" s="14"/>
      <c r="T8" s="14"/>
      <c r="U8" s="14"/>
    </row>
    <row r="9" spans="1:21" ht="13" x14ac:dyDescent="0.15">
      <c r="B9" s="57" t="str">
        <f t="shared" si="0"/>
        <v>SRR28460520_NC_002206.1_submittername</v>
      </c>
      <c r="C9" s="119" t="str">
        <f t="shared" si="1"/>
        <v>SRR28460520_NC_002206.1_submittername.fa</v>
      </c>
      <c r="D9" s="120" t="s">
        <v>20</v>
      </c>
      <c r="E9" s="120" t="s">
        <v>28</v>
      </c>
      <c r="F9" s="120" t="s">
        <v>29</v>
      </c>
      <c r="G9" s="120" t="s">
        <v>23</v>
      </c>
      <c r="H9" s="121" t="s">
        <v>24</v>
      </c>
      <c r="I9" s="121" t="s">
        <v>25</v>
      </c>
      <c r="J9" s="120"/>
      <c r="K9" s="120"/>
      <c r="L9" s="120"/>
      <c r="M9" s="120"/>
      <c r="N9" s="60"/>
      <c r="O9" s="14"/>
      <c r="P9" s="16"/>
      <c r="Q9" s="14"/>
      <c r="R9" s="14"/>
      <c r="S9" s="14"/>
      <c r="T9" s="14"/>
      <c r="U9" s="14"/>
    </row>
    <row r="10" spans="1:21" ht="13" x14ac:dyDescent="0.15">
      <c r="B10" s="57" t="str">
        <f t="shared" si="0"/>
        <v>SRR28460520_NC_002207.1_submittername</v>
      </c>
      <c r="C10" s="119" t="str">
        <f t="shared" si="1"/>
        <v>SRR28460520_NC_002207.1_submittername.fa</v>
      </c>
      <c r="D10" s="120" t="s">
        <v>20</v>
      </c>
      <c r="E10" s="120" t="s">
        <v>30</v>
      </c>
      <c r="F10" s="120" t="s">
        <v>31</v>
      </c>
      <c r="G10" s="120" t="s">
        <v>23</v>
      </c>
      <c r="H10" s="121" t="s">
        <v>24</v>
      </c>
      <c r="I10" s="121" t="s">
        <v>25</v>
      </c>
      <c r="J10" s="120"/>
      <c r="K10" s="120"/>
      <c r="L10" s="120"/>
      <c r="M10" s="120"/>
      <c r="N10" s="60"/>
      <c r="O10" s="14"/>
      <c r="P10" s="16"/>
      <c r="Q10" s="14"/>
      <c r="R10" s="14"/>
      <c r="S10" s="14"/>
      <c r="T10" s="14"/>
      <c r="U10" s="14"/>
    </row>
    <row r="11" spans="1:21" ht="13" x14ac:dyDescent="0.15">
      <c r="B11" s="57" t="str">
        <f t="shared" si="0"/>
        <v>SRR28460520_NC_002208.1_submittername</v>
      </c>
      <c r="C11" s="119" t="str">
        <f t="shared" si="1"/>
        <v>SRR28460520_NC_002208.1_submittername.fa</v>
      </c>
      <c r="D11" s="120" t="s">
        <v>20</v>
      </c>
      <c r="E11" s="120" t="s">
        <v>32</v>
      </c>
      <c r="F11" s="120" t="s">
        <v>33</v>
      </c>
      <c r="G11" s="120" t="s">
        <v>23</v>
      </c>
      <c r="H11" s="121" t="s">
        <v>24</v>
      </c>
      <c r="I11" s="121" t="s">
        <v>25</v>
      </c>
      <c r="J11" s="120"/>
      <c r="K11" s="120"/>
      <c r="L11" s="120"/>
      <c r="M11" s="120"/>
      <c r="N11" s="60"/>
      <c r="O11" s="14"/>
      <c r="P11" s="16"/>
      <c r="Q11" s="14"/>
      <c r="R11" s="14"/>
      <c r="S11" s="14"/>
      <c r="T11" s="14"/>
      <c r="U11" s="14"/>
    </row>
    <row r="12" spans="1:21" ht="13" x14ac:dyDescent="0.15">
      <c r="B12" s="57" t="str">
        <f t="shared" si="0"/>
        <v>SRR28460520_NC_002209.1_submittername</v>
      </c>
      <c r="C12" s="119" t="str">
        <f t="shared" si="1"/>
        <v>SRR28460520_NC_002209.1_submittername.fa</v>
      </c>
      <c r="D12" s="120" t="s">
        <v>20</v>
      </c>
      <c r="E12" s="120" t="s">
        <v>34</v>
      </c>
      <c r="F12" s="120" t="s">
        <v>35</v>
      </c>
      <c r="G12" s="120" t="s">
        <v>23</v>
      </c>
      <c r="H12" s="121" t="s">
        <v>24</v>
      </c>
      <c r="I12" s="121" t="s">
        <v>25</v>
      </c>
      <c r="J12" s="120"/>
      <c r="K12" s="120"/>
      <c r="L12" s="120"/>
      <c r="M12" s="120"/>
      <c r="N12" s="60"/>
      <c r="O12" s="14"/>
      <c r="P12" s="16"/>
      <c r="Q12" s="14"/>
      <c r="R12" s="14"/>
      <c r="S12" s="14"/>
      <c r="T12" s="14"/>
      <c r="U12" s="14"/>
    </row>
    <row r="13" spans="1:21" ht="13" x14ac:dyDescent="0.15">
      <c r="B13" s="57" t="str">
        <f t="shared" si="0"/>
        <v>SRR28460520_NC_002210.1_submittername</v>
      </c>
      <c r="C13" s="119" t="str">
        <f t="shared" si="1"/>
        <v>SRR28460520_NC_002210.1_submittername.fa</v>
      </c>
      <c r="D13" s="120" t="s">
        <v>20</v>
      </c>
      <c r="E13" s="120" t="s">
        <v>36</v>
      </c>
      <c r="F13" s="120" t="s">
        <v>37</v>
      </c>
      <c r="G13" s="120" t="s">
        <v>23</v>
      </c>
      <c r="H13" s="121" t="s">
        <v>24</v>
      </c>
      <c r="I13" s="121" t="s">
        <v>25</v>
      </c>
      <c r="J13" s="120"/>
      <c r="K13" s="120"/>
      <c r="L13" s="120"/>
      <c r="M13" s="120"/>
      <c r="N13" s="60"/>
      <c r="O13" s="14"/>
      <c r="P13" s="16"/>
      <c r="Q13" s="14"/>
      <c r="R13" s="14"/>
      <c r="S13" s="14"/>
      <c r="T13" s="14"/>
      <c r="U13" s="14"/>
    </row>
    <row r="14" spans="1:21" ht="13" x14ac:dyDescent="0.15">
      <c r="B14" s="52" t="str">
        <f t="shared" si="0"/>
        <v>SRR28460520_NC_002211.1_submittername</v>
      </c>
      <c r="C14" s="32" t="str">
        <f t="shared" si="1"/>
        <v>SRR28460520_NC_002211.1_submittername.fa</v>
      </c>
      <c r="D14" s="18" t="s">
        <v>20</v>
      </c>
      <c r="E14" s="18" t="s">
        <v>38</v>
      </c>
      <c r="F14" s="18" t="s">
        <v>39</v>
      </c>
      <c r="G14" s="18" t="s">
        <v>23</v>
      </c>
      <c r="H14" s="19" t="s">
        <v>24</v>
      </c>
      <c r="I14" s="19" t="s">
        <v>25</v>
      </c>
      <c r="J14" s="18"/>
      <c r="K14" s="18"/>
      <c r="L14" s="18"/>
      <c r="M14" s="18"/>
      <c r="N14" s="123"/>
      <c r="O14" s="14"/>
      <c r="P14" s="16"/>
      <c r="Q14" s="14"/>
      <c r="R14" s="14"/>
      <c r="S14" s="14"/>
      <c r="T14" s="14"/>
      <c r="U14" s="14"/>
    </row>
    <row r="15" spans="1:21" ht="13" x14ac:dyDescent="0.15">
      <c r="B15" s="57" t="str">
        <f t="shared" si="0"/>
        <v>SRR32566846_NC_002204.1_submittername</v>
      </c>
      <c r="C15" s="119" t="str">
        <f t="shared" si="1"/>
        <v>SRR32566846_NC_002204.1_submittername.fa</v>
      </c>
      <c r="D15" s="124" t="s">
        <v>40</v>
      </c>
      <c r="E15" s="120" t="s">
        <v>21</v>
      </c>
      <c r="F15" s="120" t="s">
        <v>22</v>
      </c>
      <c r="G15" s="121" t="s">
        <v>41</v>
      </c>
      <c r="H15" s="125" t="s">
        <v>42</v>
      </c>
      <c r="I15" s="121" t="s">
        <v>43</v>
      </c>
      <c r="J15" s="121"/>
      <c r="K15" s="121"/>
      <c r="L15" s="121"/>
      <c r="M15" s="121"/>
      <c r="N15" s="126"/>
      <c r="O15" s="15"/>
    </row>
    <row r="16" spans="1:21" ht="13" x14ac:dyDescent="0.15">
      <c r="B16" s="57" t="str">
        <f t="shared" si="0"/>
        <v>SRR32566846_NC_002205.1_submittername</v>
      </c>
      <c r="C16" s="119" t="str">
        <f t="shared" si="1"/>
        <v>SRR32566846_NC_002205.1_submittername.fa</v>
      </c>
      <c r="D16" s="124" t="s">
        <v>40</v>
      </c>
      <c r="E16" s="120" t="s">
        <v>26</v>
      </c>
      <c r="F16" s="120" t="s">
        <v>27</v>
      </c>
      <c r="G16" s="121" t="s">
        <v>41</v>
      </c>
      <c r="H16" s="125" t="s">
        <v>42</v>
      </c>
      <c r="I16" s="121" t="s">
        <v>43</v>
      </c>
      <c r="J16" s="127"/>
      <c r="K16" s="127"/>
      <c r="L16" s="127"/>
      <c r="M16" s="127"/>
      <c r="N16" s="58"/>
    </row>
    <row r="17" spans="2:14" ht="13" x14ac:dyDescent="0.15">
      <c r="B17" s="57" t="str">
        <f t="shared" si="0"/>
        <v>SRR32566846_NC_002206.1_submittername</v>
      </c>
      <c r="C17" s="119" t="str">
        <f t="shared" si="1"/>
        <v>SRR32566846_NC_002206.1_submittername.fa</v>
      </c>
      <c r="D17" s="124" t="s">
        <v>40</v>
      </c>
      <c r="E17" s="120" t="s">
        <v>28</v>
      </c>
      <c r="F17" s="120" t="s">
        <v>29</v>
      </c>
      <c r="G17" s="121" t="s">
        <v>41</v>
      </c>
      <c r="H17" s="125" t="s">
        <v>42</v>
      </c>
      <c r="I17" s="121" t="s">
        <v>43</v>
      </c>
      <c r="J17" s="127"/>
      <c r="K17" s="127"/>
      <c r="L17" s="127"/>
      <c r="M17" s="127"/>
      <c r="N17" s="58"/>
    </row>
    <row r="18" spans="2:14" ht="13" x14ac:dyDescent="0.15">
      <c r="B18" s="57" t="str">
        <f t="shared" si="0"/>
        <v>SRR32566846_NC_002207.1_submittername</v>
      </c>
      <c r="C18" s="119" t="str">
        <f t="shared" si="1"/>
        <v>SRR32566846_NC_002207.1_submittername.fa</v>
      </c>
      <c r="D18" s="124" t="s">
        <v>40</v>
      </c>
      <c r="E18" s="120" t="s">
        <v>30</v>
      </c>
      <c r="F18" s="120" t="s">
        <v>31</v>
      </c>
      <c r="G18" s="121" t="s">
        <v>41</v>
      </c>
      <c r="H18" s="125" t="s">
        <v>42</v>
      </c>
      <c r="I18" s="121" t="s">
        <v>43</v>
      </c>
      <c r="J18" s="127"/>
      <c r="K18" s="127"/>
      <c r="L18" s="127"/>
      <c r="M18" s="127"/>
      <c r="N18" s="58"/>
    </row>
    <row r="19" spans="2:14" ht="13" x14ac:dyDescent="0.15">
      <c r="B19" s="57" t="str">
        <f t="shared" si="0"/>
        <v>SRR32566846_NC_002208.1_submittername</v>
      </c>
      <c r="C19" s="119" t="str">
        <f t="shared" si="1"/>
        <v>SRR32566846_NC_002208.1_submittername.fa</v>
      </c>
      <c r="D19" s="124" t="s">
        <v>40</v>
      </c>
      <c r="E19" s="120" t="s">
        <v>32</v>
      </c>
      <c r="F19" s="120" t="s">
        <v>33</v>
      </c>
      <c r="G19" s="121" t="s">
        <v>41</v>
      </c>
      <c r="H19" s="125" t="s">
        <v>42</v>
      </c>
      <c r="I19" s="121" t="s">
        <v>43</v>
      </c>
      <c r="J19" s="127"/>
      <c r="K19" s="127"/>
      <c r="L19" s="127"/>
      <c r="M19" s="127"/>
      <c r="N19" s="58"/>
    </row>
    <row r="20" spans="2:14" ht="13" x14ac:dyDescent="0.15">
      <c r="B20" s="57" t="str">
        <f t="shared" si="0"/>
        <v>SRR32566846_NC_002209.1_submittername</v>
      </c>
      <c r="C20" s="119" t="str">
        <f t="shared" si="1"/>
        <v>SRR32566846_NC_002209.1_submittername.fa</v>
      </c>
      <c r="D20" s="124" t="s">
        <v>40</v>
      </c>
      <c r="E20" s="120" t="s">
        <v>34</v>
      </c>
      <c r="F20" s="120" t="s">
        <v>35</v>
      </c>
      <c r="G20" s="121" t="s">
        <v>41</v>
      </c>
      <c r="H20" s="125" t="s">
        <v>42</v>
      </c>
      <c r="I20" s="121" t="s">
        <v>43</v>
      </c>
      <c r="J20" s="127"/>
      <c r="K20" s="127"/>
      <c r="L20" s="127"/>
      <c r="M20" s="127"/>
      <c r="N20" s="58"/>
    </row>
    <row r="21" spans="2:14" ht="13" x14ac:dyDescent="0.15">
      <c r="B21" s="57" t="str">
        <f t="shared" si="0"/>
        <v>SRR32566846_NC_002210.1_submittername</v>
      </c>
      <c r="C21" s="119" t="str">
        <f t="shared" si="1"/>
        <v>SRR32566846_NC_002210.1_submittername.fa</v>
      </c>
      <c r="D21" s="124" t="s">
        <v>40</v>
      </c>
      <c r="E21" s="120" t="s">
        <v>36</v>
      </c>
      <c r="F21" s="120" t="s">
        <v>37</v>
      </c>
      <c r="G21" s="121" t="s">
        <v>41</v>
      </c>
      <c r="H21" s="125" t="s">
        <v>42</v>
      </c>
      <c r="I21" s="121" t="s">
        <v>43</v>
      </c>
      <c r="J21" s="127"/>
      <c r="K21" s="127"/>
      <c r="L21" s="127"/>
      <c r="M21" s="127"/>
      <c r="N21" s="58"/>
    </row>
    <row r="22" spans="2:14" ht="13" x14ac:dyDescent="0.15">
      <c r="B22" s="52" t="str">
        <f t="shared" si="0"/>
        <v>SRR32566846_NC_002211.1_submittername</v>
      </c>
      <c r="C22" s="32" t="str">
        <f t="shared" si="1"/>
        <v>SRR32566846_NC_002211.1_submittername.fa</v>
      </c>
      <c r="D22" s="20" t="s">
        <v>40</v>
      </c>
      <c r="E22" s="18" t="s">
        <v>38</v>
      </c>
      <c r="F22" s="18" t="s">
        <v>39</v>
      </c>
      <c r="G22" s="19" t="s">
        <v>41</v>
      </c>
      <c r="H22" s="21" t="s">
        <v>42</v>
      </c>
      <c r="I22" s="19" t="s">
        <v>43</v>
      </c>
      <c r="J22" s="17"/>
      <c r="K22" s="17"/>
      <c r="L22" s="17"/>
      <c r="M22" s="17"/>
      <c r="N22" s="128"/>
    </row>
    <row r="23" spans="2:14" ht="13" x14ac:dyDescent="0.15">
      <c r="B23" s="57" t="str">
        <f t="shared" si="0"/>
        <v>SRR30714436_NC_002204.1_submittername</v>
      </c>
      <c r="C23" s="119" t="str">
        <f t="shared" si="1"/>
        <v>SRR30714436_NC_002204.1_submittername.fa</v>
      </c>
      <c r="D23" s="22" t="s">
        <v>44</v>
      </c>
      <c r="E23" s="22" t="s">
        <v>21</v>
      </c>
      <c r="F23" s="22" t="s">
        <v>22</v>
      </c>
      <c r="G23" s="121" t="s">
        <v>23</v>
      </c>
      <c r="H23" s="125" t="s">
        <v>45</v>
      </c>
      <c r="I23" s="121" t="s">
        <v>46</v>
      </c>
      <c r="J23" s="127"/>
      <c r="K23" s="127"/>
      <c r="L23" s="127"/>
      <c r="M23" s="127"/>
      <c r="N23" s="58"/>
    </row>
    <row r="24" spans="2:14" ht="13" x14ac:dyDescent="0.15">
      <c r="B24" s="57" t="str">
        <f t="shared" si="0"/>
        <v>SRR30714436_NC_002205.1_submittername</v>
      </c>
      <c r="C24" s="119" t="str">
        <f t="shared" si="1"/>
        <v>SRR30714436_NC_002205.1_submittername.fa</v>
      </c>
      <c r="D24" s="120" t="s">
        <v>44</v>
      </c>
      <c r="E24" s="120" t="s">
        <v>26</v>
      </c>
      <c r="F24" s="120" t="s">
        <v>27</v>
      </c>
      <c r="G24" s="121" t="s">
        <v>23</v>
      </c>
      <c r="H24" s="125" t="s">
        <v>45</v>
      </c>
      <c r="I24" s="121" t="s">
        <v>46</v>
      </c>
      <c r="J24" s="127"/>
      <c r="K24" s="127"/>
      <c r="L24" s="127"/>
      <c r="M24" s="127"/>
      <c r="N24" s="58"/>
    </row>
    <row r="25" spans="2:14" ht="13" x14ac:dyDescent="0.15">
      <c r="B25" s="57" t="str">
        <f t="shared" si="0"/>
        <v>SRR30714436_NC_002206.1_submittername</v>
      </c>
      <c r="C25" s="119" t="str">
        <f t="shared" si="1"/>
        <v>SRR30714436_NC_002206.1_submittername.fa</v>
      </c>
      <c r="D25" s="120" t="s">
        <v>44</v>
      </c>
      <c r="E25" s="120" t="s">
        <v>28</v>
      </c>
      <c r="F25" s="120" t="s">
        <v>29</v>
      </c>
      <c r="G25" s="121" t="s">
        <v>23</v>
      </c>
      <c r="H25" s="125" t="s">
        <v>45</v>
      </c>
      <c r="I25" s="121" t="s">
        <v>46</v>
      </c>
      <c r="J25" s="127"/>
      <c r="K25" s="127"/>
      <c r="L25" s="127"/>
      <c r="M25" s="127"/>
      <c r="N25" s="58"/>
    </row>
    <row r="26" spans="2:14" ht="13" x14ac:dyDescent="0.15">
      <c r="B26" s="57" t="str">
        <f t="shared" si="0"/>
        <v>SRR30714436_NC_002207.1_submittername</v>
      </c>
      <c r="C26" s="119" t="str">
        <f t="shared" si="1"/>
        <v>SRR30714436_NC_002207.1_submittername.fa</v>
      </c>
      <c r="D26" s="120" t="s">
        <v>44</v>
      </c>
      <c r="E26" s="120" t="s">
        <v>30</v>
      </c>
      <c r="F26" s="120" t="s">
        <v>31</v>
      </c>
      <c r="G26" s="121" t="s">
        <v>23</v>
      </c>
      <c r="H26" s="125" t="s">
        <v>45</v>
      </c>
      <c r="I26" s="121" t="s">
        <v>46</v>
      </c>
      <c r="J26" s="127"/>
      <c r="K26" s="127"/>
      <c r="L26" s="127"/>
      <c r="M26" s="127"/>
      <c r="N26" s="58"/>
    </row>
    <row r="27" spans="2:14" ht="13" x14ac:dyDescent="0.15">
      <c r="B27" s="57" t="str">
        <f t="shared" si="0"/>
        <v>SRR30714436_NC_002208.1_submittername</v>
      </c>
      <c r="C27" s="119" t="str">
        <f t="shared" si="1"/>
        <v>SRR30714436_NC_002208.1_submittername.fa</v>
      </c>
      <c r="D27" s="120" t="s">
        <v>44</v>
      </c>
      <c r="E27" s="120" t="s">
        <v>32</v>
      </c>
      <c r="F27" s="120" t="s">
        <v>33</v>
      </c>
      <c r="G27" s="121" t="s">
        <v>23</v>
      </c>
      <c r="H27" s="125" t="s">
        <v>45</v>
      </c>
      <c r="I27" s="121" t="s">
        <v>46</v>
      </c>
      <c r="J27" s="127"/>
      <c r="K27" s="127"/>
      <c r="L27" s="127"/>
      <c r="M27" s="127"/>
      <c r="N27" s="58"/>
    </row>
    <row r="28" spans="2:14" ht="13" x14ac:dyDescent="0.15">
      <c r="B28" s="57" t="str">
        <f t="shared" si="0"/>
        <v>SRR30714436_NC_002209.1_submittername</v>
      </c>
      <c r="C28" s="119" t="str">
        <f t="shared" si="1"/>
        <v>SRR30714436_NC_002209.1_submittername.fa</v>
      </c>
      <c r="D28" s="120" t="s">
        <v>44</v>
      </c>
      <c r="E28" s="120" t="s">
        <v>34</v>
      </c>
      <c r="F28" s="120" t="s">
        <v>35</v>
      </c>
      <c r="G28" s="121" t="s">
        <v>23</v>
      </c>
      <c r="H28" s="125" t="s">
        <v>45</v>
      </c>
      <c r="I28" s="121" t="s">
        <v>46</v>
      </c>
      <c r="J28" s="127"/>
      <c r="K28" s="127"/>
      <c r="L28" s="127"/>
      <c r="M28" s="127"/>
      <c r="N28" s="58"/>
    </row>
    <row r="29" spans="2:14" ht="13" x14ac:dyDescent="0.15">
      <c r="B29" s="57" t="str">
        <f t="shared" si="0"/>
        <v>SRR30714436_NC_002210.1_submittername</v>
      </c>
      <c r="C29" s="119" t="str">
        <f t="shared" si="1"/>
        <v>SRR30714436_NC_002210.1_submittername.fa</v>
      </c>
      <c r="D29" s="120" t="s">
        <v>44</v>
      </c>
      <c r="E29" s="120" t="s">
        <v>36</v>
      </c>
      <c r="F29" s="120" t="s">
        <v>37</v>
      </c>
      <c r="G29" s="121" t="s">
        <v>23</v>
      </c>
      <c r="H29" s="125" t="s">
        <v>45</v>
      </c>
      <c r="I29" s="121" t="s">
        <v>46</v>
      </c>
      <c r="J29" s="127"/>
      <c r="K29" s="127"/>
      <c r="L29" s="127"/>
      <c r="M29" s="127"/>
      <c r="N29" s="58"/>
    </row>
    <row r="30" spans="2:14" ht="13" x14ac:dyDescent="0.15">
      <c r="B30" s="52" t="str">
        <f t="shared" si="0"/>
        <v>SRR30714436_NC_002211.1_submittername</v>
      </c>
      <c r="C30" s="32" t="str">
        <f t="shared" si="1"/>
        <v>SRR30714436_NC_002211.1_submittername.fa</v>
      </c>
      <c r="D30" s="18" t="s">
        <v>44</v>
      </c>
      <c r="E30" s="18" t="s">
        <v>38</v>
      </c>
      <c r="F30" s="18" t="s">
        <v>39</v>
      </c>
      <c r="G30" s="19" t="s">
        <v>23</v>
      </c>
      <c r="H30" s="21" t="s">
        <v>45</v>
      </c>
      <c r="I30" s="19" t="s">
        <v>46</v>
      </c>
      <c r="J30" s="17"/>
      <c r="K30" s="17"/>
      <c r="L30" s="17"/>
      <c r="M30" s="17"/>
      <c r="N30" s="128"/>
    </row>
    <row r="31" spans="2:14" ht="13" x14ac:dyDescent="0.15">
      <c r="B31" s="57" t="str">
        <f t="shared" si="0"/>
        <v>SRR29478216_NC_002204.1_submittername</v>
      </c>
      <c r="C31" s="119" t="str">
        <f t="shared" si="1"/>
        <v>SRR29478216_NC_002204.1_submittername.fa</v>
      </c>
      <c r="D31" s="120" t="s">
        <v>47</v>
      </c>
      <c r="E31" s="120" t="s">
        <v>21</v>
      </c>
      <c r="F31" s="120" t="s">
        <v>22</v>
      </c>
      <c r="G31" s="121" t="s">
        <v>23</v>
      </c>
      <c r="H31" s="125" t="s">
        <v>42</v>
      </c>
      <c r="I31" s="121" t="s">
        <v>48</v>
      </c>
      <c r="J31" s="127"/>
      <c r="K31" s="127"/>
      <c r="L31" s="127"/>
      <c r="M31" s="127"/>
      <c r="N31" s="58"/>
    </row>
    <row r="32" spans="2:14" ht="13" x14ac:dyDescent="0.15">
      <c r="B32" s="57" t="str">
        <f t="shared" si="0"/>
        <v>SRR29478216_NC_002205.1_submittername</v>
      </c>
      <c r="C32" s="119" t="str">
        <f t="shared" si="1"/>
        <v>SRR29478216_NC_002205.1_submittername.fa</v>
      </c>
      <c r="D32" s="120" t="s">
        <v>47</v>
      </c>
      <c r="E32" s="120" t="s">
        <v>26</v>
      </c>
      <c r="F32" s="120" t="s">
        <v>27</v>
      </c>
      <c r="G32" s="121" t="s">
        <v>23</v>
      </c>
      <c r="H32" s="125" t="s">
        <v>42</v>
      </c>
      <c r="I32" s="121" t="s">
        <v>48</v>
      </c>
      <c r="J32" s="127"/>
      <c r="K32" s="127"/>
      <c r="L32" s="127"/>
      <c r="M32" s="127"/>
      <c r="N32" s="58"/>
    </row>
    <row r="33" spans="2:14" ht="13" x14ac:dyDescent="0.15">
      <c r="B33" s="57" t="str">
        <f t="shared" si="0"/>
        <v>SRR29478216_NC_002206.1_submittername</v>
      </c>
      <c r="C33" s="119" t="str">
        <f t="shared" si="1"/>
        <v>SRR29478216_NC_002206.1_submittername.fa</v>
      </c>
      <c r="D33" s="120" t="s">
        <v>47</v>
      </c>
      <c r="E33" s="120" t="s">
        <v>28</v>
      </c>
      <c r="F33" s="120" t="s">
        <v>29</v>
      </c>
      <c r="G33" s="121" t="s">
        <v>23</v>
      </c>
      <c r="H33" s="125" t="s">
        <v>42</v>
      </c>
      <c r="I33" s="121" t="s">
        <v>48</v>
      </c>
      <c r="J33" s="127"/>
      <c r="K33" s="127"/>
      <c r="L33" s="127"/>
      <c r="M33" s="127"/>
      <c r="N33" s="58"/>
    </row>
    <row r="34" spans="2:14" ht="13" x14ac:dyDescent="0.15">
      <c r="B34" s="57" t="str">
        <f t="shared" si="0"/>
        <v>SRR29478216_NC_002207.1_submittername</v>
      </c>
      <c r="C34" s="119" t="str">
        <f t="shared" si="1"/>
        <v>SRR29478216_NC_002207.1_submittername.fa</v>
      </c>
      <c r="D34" s="120" t="s">
        <v>47</v>
      </c>
      <c r="E34" s="120" t="s">
        <v>30</v>
      </c>
      <c r="F34" s="120" t="s">
        <v>31</v>
      </c>
      <c r="G34" s="121" t="s">
        <v>23</v>
      </c>
      <c r="H34" s="125" t="s">
        <v>42</v>
      </c>
      <c r="I34" s="121" t="s">
        <v>48</v>
      </c>
      <c r="J34" s="127"/>
      <c r="K34" s="127"/>
      <c r="L34" s="127"/>
      <c r="M34" s="127"/>
      <c r="N34" s="58"/>
    </row>
    <row r="35" spans="2:14" ht="13" x14ac:dyDescent="0.15">
      <c r="B35" s="57" t="str">
        <f t="shared" si="0"/>
        <v>SRR29478216_NC_002208.1_submittername</v>
      </c>
      <c r="C35" s="119" t="str">
        <f t="shared" si="1"/>
        <v>SRR29478216_NC_002208.1_submittername.fa</v>
      </c>
      <c r="D35" s="120" t="s">
        <v>47</v>
      </c>
      <c r="E35" s="120" t="s">
        <v>32</v>
      </c>
      <c r="F35" s="120" t="s">
        <v>33</v>
      </c>
      <c r="G35" s="121" t="s">
        <v>23</v>
      </c>
      <c r="H35" s="125" t="s">
        <v>42</v>
      </c>
      <c r="I35" s="121" t="s">
        <v>48</v>
      </c>
      <c r="J35" s="127"/>
      <c r="K35" s="127"/>
      <c r="L35" s="127"/>
      <c r="M35" s="127"/>
      <c r="N35" s="58"/>
    </row>
    <row r="36" spans="2:14" ht="13" x14ac:dyDescent="0.15">
      <c r="B36" s="57" t="str">
        <f t="shared" si="0"/>
        <v>SRR29478216_NC_002209.1_submittername</v>
      </c>
      <c r="C36" s="119" t="str">
        <f t="shared" si="1"/>
        <v>SRR29478216_NC_002209.1_submittername.fa</v>
      </c>
      <c r="D36" s="120" t="s">
        <v>47</v>
      </c>
      <c r="E36" s="120" t="s">
        <v>34</v>
      </c>
      <c r="F36" s="120" t="s">
        <v>35</v>
      </c>
      <c r="G36" s="121" t="s">
        <v>23</v>
      </c>
      <c r="H36" s="125" t="s">
        <v>42</v>
      </c>
      <c r="I36" s="121" t="s">
        <v>48</v>
      </c>
      <c r="J36" s="127"/>
      <c r="K36" s="127"/>
      <c r="L36" s="127"/>
      <c r="M36" s="127"/>
      <c r="N36" s="58"/>
    </row>
    <row r="37" spans="2:14" ht="13" x14ac:dyDescent="0.15">
      <c r="B37" s="57" t="str">
        <f t="shared" si="0"/>
        <v>SRR29478216_NC_002210.1_submittername</v>
      </c>
      <c r="C37" s="119" t="str">
        <f t="shared" si="1"/>
        <v>SRR29478216_NC_002210.1_submittername.fa</v>
      </c>
      <c r="D37" s="120" t="s">
        <v>47</v>
      </c>
      <c r="E37" s="120" t="s">
        <v>36</v>
      </c>
      <c r="F37" s="120" t="s">
        <v>37</v>
      </c>
      <c r="G37" s="121" t="s">
        <v>23</v>
      </c>
      <c r="H37" s="125" t="s">
        <v>42</v>
      </c>
      <c r="I37" s="121" t="s">
        <v>48</v>
      </c>
      <c r="J37" s="127"/>
      <c r="K37" s="127"/>
      <c r="L37" s="127"/>
      <c r="M37" s="127"/>
      <c r="N37" s="58"/>
    </row>
    <row r="38" spans="2:14" ht="13" x14ac:dyDescent="0.15">
      <c r="B38" s="52" t="str">
        <f t="shared" si="0"/>
        <v>SRR29478216_NC_002211.1_submittername</v>
      </c>
      <c r="C38" s="32" t="str">
        <f t="shared" si="1"/>
        <v>SRR29478216_NC_002211.1_submittername.fa</v>
      </c>
      <c r="D38" s="18" t="s">
        <v>47</v>
      </c>
      <c r="E38" s="18" t="s">
        <v>38</v>
      </c>
      <c r="F38" s="18" t="s">
        <v>39</v>
      </c>
      <c r="G38" s="19" t="s">
        <v>23</v>
      </c>
      <c r="H38" s="21" t="s">
        <v>42</v>
      </c>
      <c r="I38" s="19" t="s">
        <v>48</v>
      </c>
      <c r="J38" s="17"/>
      <c r="K38" s="17"/>
      <c r="L38" s="17"/>
      <c r="M38" s="17"/>
      <c r="N38" s="128"/>
    </row>
    <row r="39" spans="2:14" ht="13" x14ac:dyDescent="0.15">
      <c r="B39" s="57" t="str">
        <f t="shared" si="0"/>
        <v>SRR22846266_NC_002204.1_submittername</v>
      </c>
      <c r="C39" s="119" t="str">
        <f t="shared" si="1"/>
        <v>SRR22846266_NC_002204.1_submittername.fa</v>
      </c>
      <c r="D39" s="120" t="s">
        <v>49</v>
      </c>
      <c r="E39" s="120" t="s">
        <v>21</v>
      </c>
      <c r="F39" s="120" t="s">
        <v>22</v>
      </c>
      <c r="G39" s="121" t="s">
        <v>23</v>
      </c>
      <c r="H39" s="125" t="s">
        <v>42</v>
      </c>
      <c r="I39" s="121" t="s">
        <v>48</v>
      </c>
      <c r="J39" s="127"/>
      <c r="K39" s="127"/>
      <c r="L39" s="127"/>
      <c r="M39" s="127"/>
      <c r="N39" s="58"/>
    </row>
    <row r="40" spans="2:14" ht="13" x14ac:dyDescent="0.15">
      <c r="B40" s="57" t="str">
        <f t="shared" si="0"/>
        <v>SRR22846266_NC_002205.1_submittername</v>
      </c>
      <c r="C40" s="119" t="str">
        <f t="shared" si="1"/>
        <v>SRR22846266_NC_002205.1_submittername.fa</v>
      </c>
      <c r="D40" s="120" t="s">
        <v>49</v>
      </c>
      <c r="E40" s="120" t="s">
        <v>26</v>
      </c>
      <c r="F40" s="120" t="s">
        <v>27</v>
      </c>
      <c r="G40" s="121" t="s">
        <v>23</v>
      </c>
      <c r="H40" s="125" t="s">
        <v>42</v>
      </c>
      <c r="I40" s="121" t="s">
        <v>48</v>
      </c>
      <c r="J40" s="127"/>
      <c r="K40" s="127"/>
      <c r="L40" s="127"/>
      <c r="M40" s="127"/>
      <c r="N40" s="58"/>
    </row>
    <row r="41" spans="2:14" ht="13" x14ac:dyDescent="0.15">
      <c r="B41" s="57" t="str">
        <f t="shared" si="0"/>
        <v>SRR22846266_NC_002206.1_submittername</v>
      </c>
      <c r="C41" s="119" t="str">
        <f t="shared" si="1"/>
        <v>SRR22846266_NC_002206.1_submittername.fa</v>
      </c>
      <c r="D41" s="120" t="s">
        <v>49</v>
      </c>
      <c r="E41" s="120" t="s">
        <v>28</v>
      </c>
      <c r="F41" s="120" t="s">
        <v>29</v>
      </c>
      <c r="G41" s="121" t="s">
        <v>23</v>
      </c>
      <c r="H41" s="125" t="s">
        <v>42</v>
      </c>
      <c r="I41" s="121" t="s">
        <v>48</v>
      </c>
      <c r="J41" s="127"/>
      <c r="K41" s="127"/>
      <c r="L41" s="127"/>
      <c r="M41" s="127"/>
      <c r="N41" s="58"/>
    </row>
    <row r="42" spans="2:14" ht="13" x14ac:dyDescent="0.15">
      <c r="B42" s="57" t="str">
        <f t="shared" si="0"/>
        <v>SRR22846266_NC_002207.1_submittername</v>
      </c>
      <c r="C42" s="119" t="str">
        <f t="shared" si="1"/>
        <v>SRR22846266_NC_002207.1_submittername.fa</v>
      </c>
      <c r="D42" s="120" t="s">
        <v>49</v>
      </c>
      <c r="E42" s="120" t="s">
        <v>30</v>
      </c>
      <c r="F42" s="120" t="s">
        <v>31</v>
      </c>
      <c r="G42" s="121" t="s">
        <v>23</v>
      </c>
      <c r="H42" s="125" t="s">
        <v>42</v>
      </c>
      <c r="I42" s="121" t="s">
        <v>48</v>
      </c>
      <c r="J42" s="127"/>
      <c r="K42" s="127"/>
      <c r="L42" s="127"/>
      <c r="M42" s="127"/>
      <c r="N42" s="58"/>
    </row>
    <row r="43" spans="2:14" ht="13" x14ac:dyDescent="0.15">
      <c r="B43" s="57" t="str">
        <f t="shared" si="0"/>
        <v>SRR22846266_NC_002208.1_submittername</v>
      </c>
      <c r="C43" s="119" t="str">
        <f t="shared" si="1"/>
        <v>SRR22846266_NC_002208.1_submittername.fa</v>
      </c>
      <c r="D43" s="120" t="s">
        <v>49</v>
      </c>
      <c r="E43" s="120" t="s">
        <v>32</v>
      </c>
      <c r="F43" s="120" t="s">
        <v>33</v>
      </c>
      <c r="G43" s="121" t="s">
        <v>23</v>
      </c>
      <c r="H43" s="125" t="s">
        <v>42</v>
      </c>
      <c r="I43" s="121" t="s">
        <v>48</v>
      </c>
      <c r="J43" s="127"/>
      <c r="K43" s="127"/>
      <c r="L43" s="127"/>
      <c r="M43" s="127"/>
      <c r="N43" s="58"/>
    </row>
    <row r="44" spans="2:14" ht="13" x14ac:dyDescent="0.15">
      <c r="B44" s="57" t="str">
        <f t="shared" si="0"/>
        <v>SRR22846266_NC_002209.1_submittername</v>
      </c>
      <c r="C44" s="119" t="str">
        <f t="shared" si="1"/>
        <v>SRR22846266_NC_002209.1_submittername.fa</v>
      </c>
      <c r="D44" s="120" t="s">
        <v>49</v>
      </c>
      <c r="E44" s="120" t="s">
        <v>34</v>
      </c>
      <c r="F44" s="120" t="s">
        <v>35</v>
      </c>
      <c r="G44" s="121" t="s">
        <v>23</v>
      </c>
      <c r="H44" s="125" t="s">
        <v>42</v>
      </c>
      <c r="I44" s="121" t="s">
        <v>48</v>
      </c>
      <c r="J44" s="127"/>
      <c r="K44" s="127"/>
      <c r="L44" s="127"/>
      <c r="M44" s="127"/>
      <c r="N44" s="58"/>
    </row>
    <row r="45" spans="2:14" ht="13" x14ac:dyDescent="0.15">
      <c r="B45" s="57" t="str">
        <f t="shared" si="0"/>
        <v>SRR22846266_NC_002210.1_submittername</v>
      </c>
      <c r="C45" s="119" t="str">
        <f t="shared" si="1"/>
        <v>SRR22846266_NC_002210.1_submittername.fa</v>
      </c>
      <c r="D45" s="120" t="s">
        <v>49</v>
      </c>
      <c r="E45" s="120" t="s">
        <v>36</v>
      </c>
      <c r="F45" s="120" t="s">
        <v>37</v>
      </c>
      <c r="G45" s="121" t="s">
        <v>23</v>
      </c>
      <c r="H45" s="125" t="s">
        <v>42</v>
      </c>
      <c r="I45" s="121" t="s">
        <v>48</v>
      </c>
      <c r="J45" s="127"/>
      <c r="K45" s="127"/>
      <c r="L45" s="127"/>
      <c r="M45" s="127"/>
      <c r="N45" s="58"/>
    </row>
    <row r="46" spans="2:14" ht="13" x14ac:dyDescent="0.15">
      <c r="B46" s="52" t="str">
        <f t="shared" si="0"/>
        <v>SRR22846266_NC_002211.1_submittername</v>
      </c>
      <c r="C46" s="32" t="str">
        <f t="shared" si="1"/>
        <v>SRR22846266_NC_002211.1_submittername.fa</v>
      </c>
      <c r="D46" s="18" t="s">
        <v>49</v>
      </c>
      <c r="E46" s="18" t="s">
        <v>38</v>
      </c>
      <c r="F46" s="18" t="s">
        <v>39</v>
      </c>
      <c r="G46" s="19" t="s">
        <v>23</v>
      </c>
      <c r="H46" s="21" t="s">
        <v>42</v>
      </c>
      <c r="I46" s="19" t="s">
        <v>48</v>
      </c>
      <c r="J46" s="17"/>
      <c r="K46" s="17"/>
      <c r="L46" s="17"/>
      <c r="M46" s="17"/>
      <c r="N46" s="128"/>
    </row>
    <row r="47" spans="2:14" ht="13" x14ac:dyDescent="0.15">
      <c r="B47" s="57" t="str">
        <f t="shared" si="0"/>
        <v>ERR12329533_NC_026438.1_submittername</v>
      </c>
      <c r="C47" s="119" t="str">
        <f t="shared" si="1"/>
        <v>ERR12329533_NC_026438.1_submittername.fa</v>
      </c>
      <c r="D47" s="120" t="s">
        <v>50</v>
      </c>
      <c r="E47" s="120" t="s">
        <v>51</v>
      </c>
      <c r="F47" s="120" t="s">
        <v>52</v>
      </c>
      <c r="G47" s="121" t="s">
        <v>23</v>
      </c>
      <c r="H47" s="125" t="s">
        <v>45</v>
      </c>
      <c r="I47" s="121" t="s">
        <v>53</v>
      </c>
      <c r="J47" s="127"/>
      <c r="K47" s="127"/>
      <c r="L47" s="127"/>
      <c r="M47" s="127"/>
      <c r="N47" s="58"/>
    </row>
    <row r="48" spans="2:14" ht="13" x14ac:dyDescent="0.15">
      <c r="B48" s="57" t="str">
        <f t="shared" si="0"/>
        <v>ERR12329533_NC_026435.1_submittername</v>
      </c>
      <c r="C48" s="119" t="str">
        <f t="shared" si="1"/>
        <v>ERR12329533_NC_026435.1_submittername.fa</v>
      </c>
      <c r="D48" s="120" t="s">
        <v>50</v>
      </c>
      <c r="E48" s="120" t="s">
        <v>54</v>
      </c>
      <c r="F48" s="120" t="s">
        <v>55</v>
      </c>
      <c r="G48" s="121" t="s">
        <v>23</v>
      </c>
      <c r="H48" s="125" t="s">
        <v>45</v>
      </c>
      <c r="I48" s="121" t="s">
        <v>53</v>
      </c>
      <c r="J48" s="127"/>
      <c r="K48" s="127"/>
      <c r="L48" s="127"/>
      <c r="M48" s="127"/>
      <c r="N48" s="58"/>
    </row>
    <row r="49" spans="2:14" ht="13" x14ac:dyDescent="0.15">
      <c r="B49" s="57" t="str">
        <f t="shared" si="0"/>
        <v>ERR12329533_NC_026437.1_submittername</v>
      </c>
      <c r="C49" s="119" t="str">
        <f t="shared" si="1"/>
        <v>ERR12329533_NC_026437.1_submittername.fa</v>
      </c>
      <c r="D49" s="120" t="s">
        <v>50</v>
      </c>
      <c r="E49" s="120" t="s">
        <v>56</v>
      </c>
      <c r="F49" s="120" t="s">
        <v>57</v>
      </c>
      <c r="G49" s="121" t="s">
        <v>23</v>
      </c>
      <c r="H49" s="125" t="s">
        <v>45</v>
      </c>
      <c r="I49" s="121" t="s">
        <v>53</v>
      </c>
      <c r="J49" s="127"/>
      <c r="K49" s="127"/>
      <c r="L49" s="127"/>
      <c r="M49" s="127"/>
      <c r="N49" s="58"/>
    </row>
    <row r="50" spans="2:14" ht="13" x14ac:dyDescent="0.15">
      <c r="B50" s="57" t="str">
        <f t="shared" si="0"/>
        <v>ERR12329533_NC_026433.1_submittername</v>
      </c>
      <c r="C50" s="119" t="str">
        <f t="shared" si="1"/>
        <v>ERR12329533_NC_026433.1_submittername.fa</v>
      </c>
      <c r="D50" s="120" t="s">
        <v>50</v>
      </c>
      <c r="E50" s="120" t="s">
        <v>58</v>
      </c>
      <c r="F50" s="120" t="s">
        <v>59</v>
      </c>
      <c r="G50" s="121" t="s">
        <v>23</v>
      </c>
      <c r="H50" s="125" t="s">
        <v>45</v>
      </c>
      <c r="I50" s="121" t="s">
        <v>53</v>
      </c>
      <c r="J50" s="127"/>
      <c r="K50" s="127"/>
      <c r="L50" s="127"/>
      <c r="M50" s="127"/>
      <c r="N50" s="58"/>
    </row>
    <row r="51" spans="2:14" ht="13" x14ac:dyDescent="0.15">
      <c r="B51" s="57" t="str">
        <f t="shared" si="0"/>
        <v>ERR12329533_NC_026436.1_submittername</v>
      </c>
      <c r="C51" s="119" t="str">
        <f t="shared" si="1"/>
        <v>ERR12329533_NC_026436.1_submittername.fa</v>
      </c>
      <c r="D51" s="120" t="s">
        <v>50</v>
      </c>
      <c r="E51" s="120" t="s">
        <v>60</v>
      </c>
      <c r="F51" s="120" t="s">
        <v>61</v>
      </c>
      <c r="G51" s="121" t="s">
        <v>23</v>
      </c>
      <c r="H51" s="125" t="s">
        <v>45</v>
      </c>
      <c r="I51" s="121" t="s">
        <v>53</v>
      </c>
      <c r="J51" s="127"/>
      <c r="K51" s="127"/>
      <c r="L51" s="127"/>
      <c r="M51" s="127"/>
      <c r="N51" s="58"/>
    </row>
    <row r="52" spans="2:14" ht="13" x14ac:dyDescent="0.15">
      <c r="B52" s="57" t="str">
        <f t="shared" si="0"/>
        <v>ERR12329533_NC_026434.1_submittername</v>
      </c>
      <c r="C52" s="119" t="str">
        <f t="shared" si="1"/>
        <v>ERR12329533_NC_026434.1_submittername.fa</v>
      </c>
      <c r="D52" s="120" t="s">
        <v>50</v>
      </c>
      <c r="E52" s="120" t="s">
        <v>62</v>
      </c>
      <c r="F52" s="120" t="s">
        <v>63</v>
      </c>
      <c r="G52" s="121" t="s">
        <v>23</v>
      </c>
      <c r="H52" s="125" t="s">
        <v>45</v>
      </c>
      <c r="I52" s="121" t="s">
        <v>53</v>
      </c>
      <c r="J52" s="127"/>
      <c r="K52" s="127"/>
      <c r="L52" s="127"/>
      <c r="M52" s="127"/>
      <c r="N52" s="58"/>
    </row>
    <row r="53" spans="2:14" ht="13" x14ac:dyDescent="0.15">
      <c r="B53" s="57" t="str">
        <f t="shared" si="0"/>
        <v>ERR12329533_NC_026431.1_submittername</v>
      </c>
      <c r="C53" s="119" t="str">
        <f t="shared" si="1"/>
        <v>ERR12329533_NC_026431.1_submittername.fa</v>
      </c>
      <c r="D53" s="120" t="s">
        <v>50</v>
      </c>
      <c r="E53" s="120" t="s">
        <v>64</v>
      </c>
      <c r="F53" s="120" t="s">
        <v>65</v>
      </c>
      <c r="G53" s="121" t="s">
        <v>23</v>
      </c>
      <c r="H53" s="125" t="s">
        <v>45</v>
      </c>
      <c r="I53" s="121" t="s">
        <v>53</v>
      </c>
      <c r="J53" s="127"/>
      <c r="K53" s="127"/>
      <c r="L53" s="127"/>
      <c r="M53" s="127"/>
      <c r="N53" s="58"/>
    </row>
    <row r="54" spans="2:14" ht="13" x14ac:dyDescent="0.15">
      <c r="B54" s="52" t="str">
        <f t="shared" si="0"/>
        <v>ERR12329533_NC_026432.1_submittername</v>
      </c>
      <c r="C54" s="32" t="str">
        <f t="shared" si="1"/>
        <v>ERR12329533_NC_026432.1_submittername.fa</v>
      </c>
      <c r="D54" s="18" t="s">
        <v>50</v>
      </c>
      <c r="E54" s="18" t="s">
        <v>66</v>
      </c>
      <c r="F54" s="18" t="s">
        <v>67</v>
      </c>
      <c r="G54" s="19" t="s">
        <v>23</v>
      </c>
      <c r="H54" s="21" t="s">
        <v>45</v>
      </c>
      <c r="I54" s="19" t="s">
        <v>53</v>
      </c>
      <c r="J54" s="17"/>
      <c r="K54" s="17"/>
      <c r="L54" s="17"/>
      <c r="M54" s="17"/>
      <c r="N54" s="128"/>
    </row>
    <row r="55" spans="2:14" ht="13" x14ac:dyDescent="0.15">
      <c r="B55" s="57" t="str">
        <f t="shared" si="0"/>
        <v>ERR10221502_NC_026438.1_submittername</v>
      </c>
      <c r="C55" s="119" t="str">
        <f t="shared" si="1"/>
        <v>ERR10221502_NC_026438.1_submittername.fa</v>
      </c>
      <c r="D55" s="23" t="s">
        <v>68</v>
      </c>
      <c r="E55" s="120" t="s">
        <v>51</v>
      </c>
      <c r="F55" s="120" t="s">
        <v>52</v>
      </c>
      <c r="G55" s="121" t="s">
        <v>41</v>
      </c>
      <c r="H55" s="121" t="s">
        <v>42</v>
      </c>
      <c r="I55" s="121" t="s">
        <v>69</v>
      </c>
      <c r="J55" s="127"/>
      <c r="K55" s="127"/>
      <c r="L55" s="127"/>
      <c r="M55" s="127"/>
      <c r="N55" s="58"/>
    </row>
    <row r="56" spans="2:14" ht="13" x14ac:dyDescent="0.15">
      <c r="B56" s="57" t="str">
        <f t="shared" si="0"/>
        <v>ERR10221502_NC_026435.1_submittername</v>
      </c>
      <c r="C56" s="119" t="str">
        <f t="shared" si="1"/>
        <v>ERR10221502_NC_026435.1_submittername.fa</v>
      </c>
      <c r="D56" s="23" t="s">
        <v>68</v>
      </c>
      <c r="E56" s="120" t="s">
        <v>54</v>
      </c>
      <c r="F56" s="120" t="s">
        <v>55</v>
      </c>
      <c r="G56" s="121" t="s">
        <v>41</v>
      </c>
      <c r="H56" s="121" t="s">
        <v>42</v>
      </c>
      <c r="I56" s="121" t="s">
        <v>69</v>
      </c>
      <c r="J56" s="127"/>
      <c r="K56" s="127"/>
      <c r="L56" s="127"/>
      <c r="M56" s="127"/>
      <c r="N56" s="58"/>
    </row>
    <row r="57" spans="2:14" ht="13" x14ac:dyDescent="0.15">
      <c r="B57" s="57" t="str">
        <f t="shared" si="0"/>
        <v>ERR10221502_NC_026437.1_submittername</v>
      </c>
      <c r="C57" s="119" t="str">
        <f t="shared" si="1"/>
        <v>ERR10221502_NC_026437.1_submittername.fa</v>
      </c>
      <c r="D57" s="23" t="s">
        <v>68</v>
      </c>
      <c r="E57" s="120" t="s">
        <v>56</v>
      </c>
      <c r="F57" s="120" t="s">
        <v>57</v>
      </c>
      <c r="G57" s="121" t="s">
        <v>41</v>
      </c>
      <c r="H57" s="121" t="s">
        <v>42</v>
      </c>
      <c r="I57" s="121" t="s">
        <v>69</v>
      </c>
      <c r="J57" s="127"/>
      <c r="K57" s="127"/>
      <c r="L57" s="127"/>
      <c r="M57" s="127"/>
      <c r="N57" s="58"/>
    </row>
    <row r="58" spans="2:14" ht="13" x14ac:dyDescent="0.15">
      <c r="B58" s="57" t="str">
        <f t="shared" si="0"/>
        <v>ERR10221502_NC_026433.1_submittername</v>
      </c>
      <c r="C58" s="119" t="str">
        <f t="shared" si="1"/>
        <v>ERR10221502_NC_026433.1_submittername.fa</v>
      </c>
      <c r="D58" s="23" t="s">
        <v>68</v>
      </c>
      <c r="E58" s="120" t="s">
        <v>58</v>
      </c>
      <c r="F58" s="120" t="s">
        <v>59</v>
      </c>
      <c r="G58" s="121" t="s">
        <v>41</v>
      </c>
      <c r="H58" s="121" t="s">
        <v>42</v>
      </c>
      <c r="I58" s="121" t="s">
        <v>69</v>
      </c>
      <c r="J58" s="127"/>
      <c r="K58" s="127"/>
      <c r="L58" s="127"/>
      <c r="M58" s="127"/>
      <c r="N58" s="58"/>
    </row>
    <row r="59" spans="2:14" ht="13" x14ac:dyDescent="0.15">
      <c r="B59" s="57" t="str">
        <f t="shared" si="0"/>
        <v>ERR10221502_NC_026436.1_submittername</v>
      </c>
      <c r="C59" s="119" t="str">
        <f t="shared" si="1"/>
        <v>ERR10221502_NC_026436.1_submittername.fa</v>
      </c>
      <c r="D59" s="23" t="s">
        <v>68</v>
      </c>
      <c r="E59" s="120" t="s">
        <v>60</v>
      </c>
      <c r="F59" s="120" t="s">
        <v>61</v>
      </c>
      <c r="G59" s="121" t="s">
        <v>41</v>
      </c>
      <c r="H59" s="121" t="s">
        <v>42</v>
      </c>
      <c r="I59" s="121" t="s">
        <v>69</v>
      </c>
      <c r="J59" s="127"/>
      <c r="K59" s="127"/>
      <c r="L59" s="127"/>
      <c r="M59" s="127"/>
      <c r="N59" s="58"/>
    </row>
    <row r="60" spans="2:14" ht="13" x14ac:dyDescent="0.15">
      <c r="B60" s="57" t="str">
        <f t="shared" si="0"/>
        <v>ERR10221502_NC_026434.1_submittername</v>
      </c>
      <c r="C60" s="119" t="str">
        <f t="shared" si="1"/>
        <v>ERR10221502_NC_026434.1_submittername.fa</v>
      </c>
      <c r="D60" s="23" t="s">
        <v>68</v>
      </c>
      <c r="E60" s="120" t="s">
        <v>62</v>
      </c>
      <c r="F60" s="120" t="s">
        <v>63</v>
      </c>
      <c r="G60" s="121" t="s">
        <v>41</v>
      </c>
      <c r="H60" s="121" t="s">
        <v>42</v>
      </c>
      <c r="I60" s="121" t="s">
        <v>69</v>
      </c>
      <c r="J60" s="127"/>
      <c r="K60" s="127"/>
      <c r="L60" s="127"/>
      <c r="M60" s="127"/>
      <c r="N60" s="58"/>
    </row>
    <row r="61" spans="2:14" ht="13" x14ac:dyDescent="0.15">
      <c r="B61" s="57" t="str">
        <f t="shared" si="0"/>
        <v>ERR10221502_NC_026431.1_submittername</v>
      </c>
      <c r="C61" s="119" t="str">
        <f t="shared" si="1"/>
        <v>ERR10221502_NC_026431.1_submittername.fa</v>
      </c>
      <c r="D61" s="23" t="s">
        <v>68</v>
      </c>
      <c r="E61" s="120" t="s">
        <v>64</v>
      </c>
      <c r="F61" s="120" t="s">
        <v>65</v>
      </c>
      <c r="G61" s="121" t="s">
        <v>41</v>
      </c>
      <c r="H61" s="121" t="s">
        <v>42</v>
      </c>
      <c r="I61" s="121" t="s">
        <v>69</v>
      </c>
      <c r="J61" s="127"/>
      <c r="K61" s="127"/>
      <c r="L61" s="127"/>
      <c r="M61" s="127"/>
      <c r="N61" s="58"/>
    </row>
    <row r="62" spans="2:14" ht="13" x14ac:dyDescent="0.15">
      <c r="B62" s="52" t="str">
        <f t="shared" si="0"/>
        <v>ERR10221502_NC_026432.1_submittername</v>
      </c>
      <c r="C62" s="32" t="str">
        <f t="shared" si="1"/>
        <v>ERR10221502_NC_026432.1_submittername.fa</v>
      </c>
      <c r="D62" s="24" t="s">
        <v>68</v>
      </c>
      <c r="E62" s="18" t="s">
        <v>66</v>
      </c>
      <c r="F62" s="18" t="s">
        <v>67</v>
      </c>
      <c r="G62" s="19" t="s">
        <v>41</v>
      </c>
      <c r="H62" s="19" t="s">
        <v>42</v>
      </c>
      <c r="I62" s="19" t="s">
        <v>69</v>
      </c>
      <c r="J62" s="17"/>
      <c r="K62" s="17"/>
      <c r="L62" s="17"/>
      <c r="M62" s="17"/>
      <c r="N62" s="128"/>
    </row>
    <row r="63" spans="2:14" ht="13" x14ac:dyDescent="0.15">
      <c r="B63" s="57" t="str">
        <f t="shared" si="0"/>
        <v>SRR8032432_NC_026438.1_submittername</v>
      </c>
      <c r="C63" s="119" t="str">
        <f t="shared" si="1"/>
        <v>SRR8032432_NC_026438.1_submittername.fa</v>
      </c>
      <c r="D63" s="119" t="s">
        <v>70</v>
      </c>
      <c r="E63" s="120" t="s">
        <v>51</v>
      </c>
      <c r="F63" s="120" t="s">
        <v>52</v>
      </c>
      <c r="G63" s="121" t="s">
        <v>23</v>
      </c>
      <c r="H63" s="121" t="s">
        <v>24</v>
      </c>
      <c r="I63" s="121" t="s">
        <v>25</v>
      </c>
      <c r="J63" s="127"/>
      <c r="K63" s="127"/>
      <c r="L63" s="127"/>
      <c r="M63" s="127"/>
      <c r="N63" s="58"/>
    </row>
    <row r="64" spans="2:14" ht="13" x14ac:dyDescent="0.15">
      <c r="B64" s="57" t="str">
        <f t="shared" si="0"/>
        <v>SRR8032432_NC_026435.1_submittername</v>
      </c>
      <c r="C64" s="119" t="str">
        <f t="shared" si="1"/>
        <v>SRR8032432_NC_026435.1_submittername.fa</v>
      </c>
      <c r="D64" s="119" t="s">
        <v>70</v>
      </c>
      <c r="E64" s="120" t="s">
        <v>54</v>
      </c>
      <c r="F64" s="120" t="s">
        <v>55</v>
      </c>
      <c r="G64" s="121" t="s">
        <v>23</v>
      </c>
      <c r="H64" s="121" t="s">
        <v>24</v>
      </c>
      <c r="I64" s="121" t="s">
        <v>25</v>
      </c>
      <c r="J64" s="127"/>
      <c r="K64" s="127"/>
      <c r="L64" s="127"/>
      <c r="M64" s="127"/>
      <c r="N64" s="58"/>
    </row>
    <row r="65" spans="2:18" ht="13" x14ac:dyDescent="0.15">
      <c r="B65" s="57" t="str">
        <f t="shared" si="0"/>
        <v>SRR8032432_NC_026437.1_submittername</v>
      </c>
      <c r="C65" s="119" t="str">
        <f t="shared" si="1"/>
        <v>SRR8032432_NC_026437.1_submittername.fa</v>
      </c>
      <c r="D65" s="119" t="s">
        <v>70</v>
      </c>
      <c r="E65" s="120" t="s">
        <v>56</v>
      </c>
      <c r="F65" s="120" t="s">
        <v>57</v>
      </c>
      <c r="G65" s="121" t="s">
        <v>23</v>
      </c>
      <c r="H65" s="121" t="s">
        <v>24</v>
      </c>
      <c r="I65" s="121" t="s">
        <v>25</v>
      </c>
      <c r="J65" s="127"/>
      <c r="K65" s="127"/>
      <c r="L65" s="127"/>
      <c r="M65" s="127"/>
      <c r="N65" s="58"/>
    </row>
    <row r="66" spans="2:18" ht="13" x14ac:dyDescent="0.15">
      <c r="B66" s="57" t="str">
        <f t="shared" si="0"/>
        <v>SRR8032432_NC_026433.1_submittername</v>
      </c>
      <c r="C66" s="119" t="str">
        <f t="shared" si="1"/>
        <v>SRR8032432_NC_026433.1_submittername.fa</v>
      </c>
      <c r="D66" s="119" t="s">
        <v>70</v>
      </c>
      <c r="E66" s="120" t="s">
        <v>58</v>
      </c>
      <c r="F66" s="120" t="s">
        <v>59</v>
      </c>
      <c r="G66" s="121" t="s">
        <v>23</v>
      </c>
      <c r="H66" s="121" t="s">
        <v>24</v>
      </c>
      <c r="I66" s="121" t="s">
        <v>25</v>
      </c>
      <c r="J66" s="127"/>
      <c r="K66" s="127"/>
      <c r="L66" s="127"/>
      <c r="M66" s="127"/>
      <c r="N66" s="58"/>
    </row>
    <row r="67" spans="2:18" ht="13" x14ac:dyDescent="0.15">
      <c r="B67" s="57" t="str">
        <f t="shared" si="0"/>
        <v>SRR8032432_NC_026436.1_submittername</v>
      </c>
      <c r="C67" s="119" t="str">
        <f t="shared" si="1"/>
        <v>SRR8032432_NC_026436.1_submittername.fa</v>
      </c>
      <c r="D67" s="119" t="s">
        <v>70</v>
      </c>
      <c r="E67" s="120" t="s">
        <v>60</v>
      </c>
      <c r="F67" s="120" t="s">
        <v>61</v>
      </c>
      <c r="G67" s="121" t="s">
        <v>23</v>
      </c>
      <c r="H67" s="121" t="s">
        <v>24</v>
      </c>
      <c r="I67" s="121" t="s">
        <v>25</v>
      </c>
      <c r="J67" s="127"/>
      <c r="K67" s="127"/>
      <c r="L67" s="127"/>
      <c r="M67" s="127"/>
      <c r="N67" s="58"/>
    </row>
    <row r="68" spans="2:18" ht="13" x14ac:dyDescent="0.15">
      <c r="B68" s="57" t="str">
        <f t="shared" si="0"/>
        <v>SRR8032432_NC_026434.1_submittername</v>
      </c>
      <c r="C68" s="119" t="str">
        <f t="shared" si="1"/>
        <v>SRR8032432_NC_026434.1_submittername.fa</v>
      </c>
      <c r="D68" s="119" t="s">
        <v>70</v>
      </c>
      <c r="E68" s="120" t="s">
        <v>62</v>
      </c>
      <c r="F68" s="120" t="s">
        <v>63</v>
      </c>
      <c r="G68" s="121" t="s">
        <v>23</v>
      </c>
      <c r="H68" s="121" t="s">
        <v>24</v>
      </c>
      <c r="I68" s="121" t="s">
        <v>25</v>
      </c>
      <c r="J68" s="127"/>
      <c r="K68" s="127"/>
      <c r="L68" s="127"/>
      <c r="M68" s="127"/>
      <c r="N68" s="58"/>
    </row>
    <row r="69" spans="2:18" ht="13" x14ac:dyDescent="0.15">
      <c r="B69" s="57" t="str">
        <f t="shared" si="0"/>
        <v>SRR8032432_NC_026431.1_submittername</v>
      </c>
      <c r="C69" s="119" t="str">
        <f t="shared" si="1"/>
        <v>SRR8032432_NC_026431.1_submittername.fa</v>
      </c>
      <c r="D69" s="119" t="s">
        <v>70</v>
      </c>
      <c r="E69" s="120" t="s">
        <v>64</v>
      </c>
      <c r="F69" s="120" t="s">
        <v>65</v>
      </c>
      <c r="G69" s="121" t="s">
        <v>23</v>
      </c>
      <c r="H69" s="121" t="s">
        <v>24</v>
      </c>
      <c r="I69" s="121" t="s">
        <v>25</v>
      </c>
      <c r="J69" s="127"/>
      <c r="K69" s="127"/>
      <c r="L69" s="127"/>
      <c r="M69" s="127"/>
      <c r="N69" s="58"/>
    </row>
    <row r="70" spans="2:18" ht="13" x14ac:dyDescent="0.15">
      <c r="B70" s="52" t="str">
        <f t="shared" si="0"/>
        <v>SRR8032432_NC_026432.1_submittername</v>
      </c>
      <c r="C70" s="32" t="str">
        <f t="shared" si="1"/>
        <v>SRR8032432_NC_026432.1_submittername.fa</v>
      </c>
      <c r="D70" s="17" t="s">
        <v>70</v>
      </c>
      <c r="E70" s="18" t="s">
        <v>66</v>
      </c>
      <c r="F70" s="18" t="s">
        <v>67</v>
      </c>
      <c r="G70" s="19" t="s">
        <v>23</v>
      </c>
      <c r="H70" s="19" t="s">
        <v>24</v>
      </c>
      <c r="I70" s="19" t="s">
        <v>25</v>
      </c>
      <c r="J70" s="17"/>
      <c r="K70" s="17"/>
      <c r="L70" s="17"/>
      <c r="M70" s="17"/>
      <c r="N70" s="128"/>
    </row>
    <row r="71" spans="2:18" ht="13" x14ac:dyDescent="0.15">
      <c r="B71" s="57" t="str">
        <f t="shared" si="0"/>
        <v>ERR3474640_NC_007372.1_submittername</v>
      </c>
      <c r="C71" s="119" t="str">
        <f t="shared" si="1"/>
        <v>ERR3474640_NC_007372.1_submittername.fa</v>
      </c>
      <c r="D71" s="120" t="s">
        <v>71</v>
      </c>
      <c r="E71" s="120" t="s">
        <v>51</v>
      </c>
      <c r="F71" s="120" t="s">
        <v>72</v>
      </c>
      <c r="G71" s="121" t="s">
        <v>23</v>
      </c>
      <c r="H71" s="121" t="s">
        <v>24</v>
      </c>
      <c r="I71" s="121" t="s">
        <v>69</v>
      </c>
      <c r="J71" s="120"/>
      <c r="K71" s="120"/>
      <c r="L71" s="120"/>
      <c r="M71" s="129"/>
      <c r="N71" s="60"/>
      <c r="O71" s="14"/>
      <c r="P71" s="14"/>
      <c r="Q71" s="14"/>
      <c r="R71" s="14"/>
    </row>
    <row r="72" spans="2:18" ht="13" x14ac:dyDescent="0.15">
      <c r="B72" s="57" t="str">
        <f t="shared" ref="B72:B130" si="2">D72 &amp; "_" &amp; F72 &amp; "_" &amp; $B$5</f>
        <v>ERR3474640_NC_007373.1_submittername</v>
      </c>
      <c r="C72" s="119" t="str">
        <f t="shared" ref="C72:C129" si="3">D72 &amp; "_" &amp; F72 &amp; "_" &amp; $B$5 &amp; "." &amp;  $C$5</f>
        <v>ERR3474640_NC_007373.1_submittername.fa</v>
      </c>
      <c r="D72" s="120" t="s">
        <v>71</v>
      </c>
      <c r="E72" s="120" t="s">
        <v>54</v>
      </c>
      <c r="F72" s="120" t="s">
        <v>73</v>
      </c>
      <c r="G72" s="121" t="s">
        <v>23</v>
      </c>
      <c r="H72" s="121" t="s">
        <v>24</v>
      </c>
      <c r="I72" s="121" t="s">
        <v>69</v>
      </c>
      <c r="J72" s="120"/>
      <c r="K72" s="120"/>
      <c r="L72" s="120"/>
      <c r="M72" s="129"/>
      <c r="N72" s="60"/>
      <c r="O72" s="14"/>
      <c r="P72" s="14"/>
      <c r="Q72" s="14"/>
      <c r="R72" s="14"/>
    </row>
    <row r="73" spans="2:18" ht="13" x14ac:dyDescent="0.15">
      <c r="B73" s="57" t="str">
        <f t="shared" si="2"/>
        <v>ERR3474640_NC_007371.1_submittername</v>
      </c>
      <c r="C73" s="119" t="str">
        <f t="shared" si="3"/>
        <v>ERR3474640_NC_007371.1_submittername.fa</v>
      </c>
      <c r="D73" s="120" t="s">
        <v>71</v>
      </c>
      <c r="E73" s="120" t="s">
        <v>56</v>
      </c>
      <c r="F73" s="120" t="s">
        <v>74</v>
      </c>
      <c r="G73" s="121" t="s">
        <v>23</v>
      </c>
      <c r="H73" s="121" t="s">
        <v>24</v>
      </c>
      <c r="I73" s="121" t="s">
        <v>69</v>
      </c>
      <c r="J73" s="120"/>
      <c r="K73" s="120"/>
      <c r="L73" s="120"/>
      <c r="M73" s="129"/>
      <c r="N73" s="60"/>
      <c r="O73" s="14"/>
      <c r="P73" s="14"/>
      <c r="Q73" s="14"/>
      <c r="R73" s="14"/>
    </row>
    <row r="74" spans="2:18" ht="13" x14ac:dyDescent="0.15">
      <c r="B74" s="57" t="str">
        <f t="shared" si="2"/>
        <v>ERR3474640_NC_007366.1_submittername</v>
      </c>
      <c r="C74" s="119" t="str">
        <f t="shared" si="3"/>
        <v>ERR3474640_NC_007366.1_submittername.fa</v>
      </c>
      <c r="D74" s="120" t="s">
        <v>71</v>
      </c>
      <c r="E74" s="120" t="s">
        <v>58</v>
      </c>
      <c r="F74" s="120" t="s">
        <v>75</v>
      </c>
      <c r="G74" s="121" t="s">
        <v>23</v>
      </c>
      <c r="H74" s="121" t="s">
        <v>24</v>
      </c>
      <c r="I74" s="121" t="s">
        <v>69</v>
      </c>
      <c r="J74" s="120"/>
      <c r="K74" s="120"/>
      <c r="L74" s="120"/>
      <c r="M74" s="129"/>
      <c r="N74" s="60"/>
      <c r="O74" s="14"/>
      <c r="P74" s="14"/>
      <c r="Q74" s="14"/>
      <c r="R74" s="14"/>
    </row>
    <row r="75" spans="2:18" ht="13" x14ac:dyDescent="0.15">
      <c r="B75" s="57" t="str">
        <f t="shared" si="2"/>
        <v>ERR3474640_NC_007369.1_submittername</v>
      </c>
      <c r="C75" s="119" t="str">
        <f t="shared" si="3"/>
        <v>ERR3474640_NC_007369.1_submittername.fa</v>
      </c>
      <c r="D75" s="120" t="s">
        <v>71</v>
      </c>
      <c r="E75" s="120" t="s">
        <v>60</v>
      </c>
      <c r="F75" s="120" t="s">
        <v>76</v>
      </c>
      <c r="G75" s="121" t="s">
        <v>23</v>
      </c>
      <c r="H75" s="121" t="s">
        <v>24</v>
      </c>
      <c r="I75" s="121" t="s">
        <v>69</v>
      </c>
      <c r="J75" s="120"/>
      <c r="K75" s="120"/>
      <c r="L75" s="120"/>
      <c r="M75" s="129"/>
      <c r="N75" s="60"/>
      <c r="O75" s="14"/>
      <c r="P75" s="14"/>
      <c r="Q75" s="14"/>
      <c r="R75" s="14"/>
    </row>
    <row r="76" spans="2:18" ht="13" x14ac:dyDescent="0.15">
      <c r="B76" s="57" t="str">
        <f t="shared" si="2"/>
        <v>ERR3474640_NC_007368.1_submittername</v>
      </c>
      <c r="C76" s="119" t="str">
        <f t="shared" si="3"/>
        <v>ERR3474640_NC_007368.1_submittername.fa</v>
      </c>
      <c r="D76" s="120" t="s">
        <v>71</v>
      </c>
      <c r="E76" s="120" t="s">
        <v>62</v>
      </c>
      <c r="F76" s="120" t="s">
        <v>77</v>
      </c>
      <c r="G76" s="121" t="s">
        <v>23</v>
      </c>
      <c r="H76" s="121" t="s">
        <v>24</v>
      </c>
      <c r="I76" s="121" t="s">
        <v>69</v>
      </c>
      <c r="J76" s="120"/>
      <c r="K76" s="120"/>
      <c r="L76" s="120"/>
      <c r="M76" s="129"/>
      <c r="N76" s="60"/>
      <c r="O76" s="14"/>
      <c r="P76" s="14"/>
      <c r="Q76" s="14"/>
      <c r="R76" s="14"/>
    </row>
    <row r="77" spans="2:18" ht="13" x14ac:dyDescent="0.15">
      <c r="B77" s="57" t="str">
        <f t="shared" si="2"/>
        <v>ERR3474640_NC_007367.1_submittername</v>
      </c>
      <c r="C77" s="119" t="str">
        <f t="shared" si="3"/>
        <v>ERR3474640_NC_007367.1_submittername.fa</v>
      </c>
      <c r="D77" s="120" t="s">
        <v>71</v>
      </c>
      <c r="E77" s="120" t="s">
        <v>64</v>
      </c>
      <c r="F77" s="120" t="s">
        <v>78</v>
      </c>
      <c r="G77" s="121" t="s">
        <v>23</v>
      </c>
      <c r="H77" s="121" t="s">
        <v>24</v>
      </c>
      <c r="I77" s="121" t="s">
        <v>69</v>
      </c>
      <c r="J77" s="120"/>
      <c r="K77" s="120"/>
      <c r="L77" s="120"/>
      <c r="M77" s="129"/>
      <c r="N77" s="60"/>
      <c r="O77" s="14"/>
      <c r="P77" s="14"/>
      <c r="Q77" s="14"/>
      <c r="R77" s="14"/>
    </row>
    <row r="78" spans="2:18" ht="13" x14ac:dyDescent="0.15">
      <c r="B78" s="52" t="str">
        <f t="shared" si="2"/>
        <v>ERR3474640_NC_007370.1_submittername</v>
      </c>
      <c r="C78" s="32" t="str">
        <f t="shared" si="3"/>
        <v>ERR3474640_NC_007370.1_submittername.fa</v>
      </c>
      <c r="D78" s="18" t="s">
        <v>71</v>
      </c>
      <c r="E78" s="18" t="s">
        <v>66</v>
      </c>
      <c r="F78" s="18" t="s">
        <v>79</v>
      </c>
      <c r="G78" s="19" t="s">
        <v>23</v>
      </c>
      <c r="H78" s="19" t="s">
        <v>24</v>
      </c>
      <c r="I78" s="19" t="s">
        <v>69</v>
      </c>
      <c r="J78" s="18"/>
      <c r="K78" s="18"/>
      <c r="L78" s="18"/>
      <c r="M78" s="25"/>
      <c r="N78" s="123"/>
      <c r="O78" s="18"/>
      <c r="P78" s="18"/>
      <c r="Q78" s="18"/>
      <c r="R78" s="18"/>
    </row>
    <row r="79" spans="2:18" ht="13" x14ac:dyDescent="0.15">
      <c r="B79" s="57" t="str">
        <f t="shared" si="2"/>
        <v>SRR17349351_OL782155.1_submittername</v>
      </c>
      <c r="C79" s="119" t="str">
        <f t="shared" si="3"/>
        <v>SRR17349351_OL782155.1_submittername.fa</v>
      </c>
      <c r="D79" s="120" t="s">
        <v>80</v>
      </c>
      <c r="E79" s="120" t="s">
        <v>51</v>
      </c>
      <c r="F79" s="120" t="s">
        <v>81</v>
      </c>
      <c r="G79" s="121" t="s">
        <v>23</v>
      </c>
      <c r="H79" s="121" t="s">
        <v>42</v>
      </c>
      <c r="I79" s="121" t="s">
        <v>69</v>
      </c>
      <c r="J79" s="127"/>
      <c r="K79" s="127"/>
      <c r="L79" s="127"/>
      <c r="M79" s="127"/>
      <c r="N79" s="58"/>
    </row>
    <row r="80" spans="2:18" ht="13" x14ac:dyDescent="0.15">
      <c r="B80" s="57" t="str">
        <f t="shared" si="2"/>
        <v>SRR17349351_OL782156.1_submittername</v>
      </c>
      <c r="C80" s="119" t="str">
        <f t="shared" si="3"/>
        <v>SRR17349351_OL782156.1_submittername.fa</v>
      </c>
      <c r="D80" s="120" t="s">
        <v>80</v>
      </c>
      <c r="E80" s="120" t="s">
        <v>54</v>
      </c>
      <c r="F80" s="120" t="s">
        <v>82</v>
      </c>
      <c r="G80" s="121" t="s">
        <v>23</v>
      </c>
      <c r="H80" s="121" t="s">
        <v>42</v>
      </c>
      <c r="I80" s="121" t="s">
        <v>69</v>
      </c>
      <c r="J80" s="127"/>
      <c r="K80" s="127"/>
      <c r="L80" s="127"/>
      <c r="M80" s="127"/>
      <c r="N80" s="58"/>
    </row>
    <row r="81" spans="2:14" ht="13" x14ac:dyDescent="0.15">
      <c r="B81" s="57" t="str">
        <f t="shared" si="2"/>
        <v>SRR17349351_OL782157.1_submittername</v>
      </c>
      <c r="C81" s="119" t="str">
        <f t="shared" si="3"/>
        <v>SRR17349351_OL782157.1_submittername.fa</v>
      </c>
      <c r="D81" s="120" t="s">
        <v>80</v>
      </c>
      <c r="E81" s="120" t="s">
        <v>56</v>
      </c>
      <c r="F81" s="120" t="s">
        <v>83</v>
      </c>
      <c r="G81" s="121" t="s">
        <v>23</v>
      </c>
      <c r="H81" s="121" t="s">
        <v>42</v>
      </c>
      <c r="I81" s="121" t="s">
        <v>69</v>
      </c>
      <c r="J81" s="127"/>
      <c r="K81" s="127"/>
      <c r="L81" s="127"/>
      <c r="M81" s="127"/>
      <c r="N81" s="58"/>
    </row>
    <row r="82" spans="2:14" ht="13" x14ac:dyDescent="0.15">
      <c r="B82" s="57" t="str">
        <f t="shared" si="2"/>
        <v>SRR17349351_OL782158.1_submittername</v>
      </c>
      <c r="C82" s="119" t="str">
        <f t="shared" si="3"/>
        <v>SRR17349351_OL782158.1_submittername.fa</v>
      </c>
      <c r="D82" s="120" t="s">
        <v>80</v>
      </c>
      <c r="E82" s="120" t="s">
        <v>58</v>
      </c>
      <c r="F82" s="120" t="s">
        <v>84</v>
      </c>
      <c r="G82" s="121" t="s">
        <v>23</v>
      </c>
      <c r="H82" s="121" t="s">
        <v>42</v>
      </c>
      <c r="I82" s="121" t="s">
        <v>69</v>
      </c>
      <c r="J82" s="127"/>
      <c r="K82" s="127"/>
      <c r="L82" s="127"/>
      <c r="M82" s="127"/>
      <c r="N82" s="58"/>
    </row>
    <row r="83" spans="2:14" ht="13" x14ac:dyDescent="0.15">
      <c r="B83" s="57" t="str">
        <f t="shared" si="2"/>
        <v>SRR17349351_OL782159.1_submittername</v>
      </c>
      <c r="C83" s="119" t="str">
        <f t="shared" si="3"/>
        <v>SRR17349351_OL782159.1_submittername.fa</v>
      </c>
      <c r="D83" s="120" t="s">
        <v>80</v>
      </c>
      <c r="E83" s="120" t="s">
        <v>60</v>
      </c>
      <c r="F83" s="120" t="s">
        <v>85</v>
      </c>
      <c r="G83" s="121" t="s">
        <v>23</v>
      </c>
      <c r="H83" s="121" t="s">
        <v>42</v>
      </c>
      <c r="I83" s="121" t="s">
        <v>69</v>
      </c>
      <c r="J83" s="127"/>
      <c r="K83" s="127"/>
      <c r="L83" s="127"/>
      <c r="M83" s="127"/>
      <c r="N83" s="58"/>
    </row>
    <row r="84" spans="2:14" ht="13" x14ac:dyDescent="0.15">
      <c r="B84" s="57" t="str">
        <f t="shared" si="2"/>
        <v>SRR17349351_OL782160.1_submittername</v>
      </c>
      <c r="C84" s="119" t="str">
        <f t="shared" si="3"/>
        <v>SRR17349351_OL782160.1_submittername.fa</v>
      </c>
      <c r="D84" s="120" t="s">
        <v>80</v>
      </c>
      <c r="E84" s="120" t="s">
        <v>62</v>
      </c>
      <c r="F84" s="120" t="s">
        <v>86</v>
      </c>
      <c r="G84" s="121" t="s">
        <v>23</v>
      </c>
      <c r="H84" s="121" t="s">
        <v>42</v>
      </c>
      <c r="I84" s="121" t="s">
        <v>69</v>
      </c>
      <c r="J84" s="127"/>
      <c r="K84" s="127"/>
      <c r="L84" s="127"/>
      <c r="M84" s="127"/>
      <c r="N84" s="58"/>
    </row>
    <row r="85" spans="2:14" ht="13" x14ac:dyDescent="0.15">
      <c r="B85" s="57" t="str">
        <f t="shared" si="2"/>
        <v>SRR17349351_OL782161.1_submittername</v>
      </c>
      <c r="C85" s="119" t="str">
        <f t="shared" si="3"/>
        <v>SRR17349351_OL782161.1_submittername.fa</v>
      </c>
      <c r="D85" s="120" t="s">
        <v>80</v>
      </c>
      <c r="E85" s="120" t="s">
        <v>64</v>
      </c>
      <c r="F85" s="120" t="s">
        <v>87</v>
      </c>
      <c r="G85" s="121" t="s">
        <v>23</v>
      </c>
      <c r="H85" s="121" t="s">
        <v>42</v>
      </c>
      <c r="I85" s="121" t="s">
        <v>69</v>
      </c>
      <c r="J85" s="127"/>
      <c r="K85" s="127"/>
      <c r="L85" s="127"/>
      <c r="M85" s="127"/>
      <c r="N85" s="58"/>
    </row>
    <row r="86" spans="2:14" ht="13" x14ac:dyDescent="0.15">
      <c r="B86" s="52" t="str">
        <f t="shared" si="2"/>
        <v>SRR17349351_OL782162.1_submittername</v>
      </c>
      <c r="C86" s="32" t="str">
        <f t="shared" si="3"/>
        <v>SRR17349351_OL782162.1_submittername.fa</v>
      </c>
      <c r="D86" s="18" t="s">
        <v>80</v>
      </c>
      <c r="E86" s="18" t="s">
        <v>66</v>
      </c>
      <c r="F86" s="18" t="s">
        <v>88</v>
      </c>
      <c r="G86" s="19" t="s">
        <v>23</v>
      </c>
      <c r="H86" s="19" t="s">
        <v>42</v>
      </c>
      <c r="I86" s="19" t="s">
        <v>69</v>
      </c>
      <c r="J86" s="17"/>
      <c r="K86" s="17"/>
      <c r="L86" s="17"/>
      <c r="M86" s="17"/>
      <c r="N86" s="128"/>
    </row>
    <row r="87" spans="2:14" ht="13" x14ac:dyDescent="0.15">
      <c r="B87" s="57" t="str">
        <f t="shared" si="2"/>
        <v>ERR11658778_DQ266097.1_submittername</v>
      </c>
      <c r="C87" s="119" t="str">
        <f t="shared" si="3"/>
        <v>ERR11658778_DQ266097.1_submittername.fa</v>
      </c>
      <c r="D87" s="120" t="s">
        <v>89</v>
      </c>
      <c r="E87" s="120" t="s">
        <v>51</v>
      </c>
      <c r="F87" s="120" t="s">
        <v>90</v>
      </c>
      <c r="G87" s="121" t="s">
        <v>23</v>
      </c>
      <c r="H87" s="125" t="s">
        <v>45</v>
      </c>
      <c r="I87" s="121" t="s">
        <v>46</v>
      </c>
      <c r="J87" s="127"/>
      <c r="K87" s="127"/>
      <c r="L87" s="127"/>
      <c r="M87" s="127"/>
      <c r="N87" s="58"/>
    </row>
    <row r="88" spans="2:14" ht="13" x14ac:dyDescent="0.15">
      <c r="B88" s="57" t="str">
        <f t="shared" si="2"/>
        <v>ERR11658778_DQ266098.1_submittername</v>
      </c>
      <c r="C88" s="119" t="str">
        <f t="shared" si="3"/>
        <v>ERR11658778_DQ266098.1_submittername.fa</v>
      </c>
      <c r="D88" s="120" t="s">
        <v>89</v>
      </c>
      <c r="E88" s="120" t="s">
        <v>54</v>
      </c>
      <c r="F88" s="120" t="s">
        <v>91</v>
      </c>
      <c r="G88" s="121" t="s">
        <v>23</v>
      </c>
      <c r="H88" s="125" t="s">
        <v>45</v>
      </c>
      <c r="I88" s="121" t="s">
        <v>46</v>
      </c>
      <c r="J88" s="127"/>
      <c r="K88" s="127"/>
      <c r="L88" s="127"/>
      <c r="M88" s="127"/>
      <c r="N88" s="58"/>
    </row>
    <row r="89" spans="2:14" ht="13" x14ac:dyDescent="0.15">
      <c r="B89" s="57" t="str">
        <f t="shared" si="2"/>
        <v>ERR11658778_DQ266099.1_submittername</v>
      </c>
      <c r="C89" s="119" t="str">
        <f t="shared" si="3"/>
        <v>ERR11658778_DQ266099.1_submittername.fa</v>
      </c>
      <c r="D89" s="120" t="s">
        <v>89</v>
      </c>
      <c r="E89" s="120" t="s">
        <v>56</v>
      </c>
      <c r="F89" s="120" t="s">
        <v>92</v>
      </c>
      <c r="G89" s="121" t="s">
        <v>23</v>
      </c>
      <c r="H89" s="125" t="s">
        <v>45</v>
      </c>
      <c r="I89" s="121" t="s">
        <v>46</v>
      </c>
      <c r="J89" s="127"/>
      <c r="K89" s="127"/>
      <c r="L89" s="127"/>
      <c r="M89" s="127"/>
      <c r="N89" s="58"/>
    </row>
    <row r="90" spans="2:14" ht="13" x14ac:dyDescent="0.15">
      <c r="B90" s="57" t="str">
        <f t="shared" si="2"/>
        <v>ERR11658778_DQ266094.1_submittername</v>
      </c>
      <c r="C90" s="119" t="str">
        <f t="shared" si="3"/>
        <v>ERR11658778_DQ266094.1_submittername.fa</v>
      </c>
      <c r="D90" s="120" t="s">
        <v>89</v>
      </c>
      <c r="E90" s="120" t="s">
        <v>58</v>
      </c>
      <c r="F90" s="120" t="s">
        <v>93</v>
      </c>
      <c r="G90" s="121" t="s">
        <v>23</v>
      </c>
      <c r="H90" s="125" t="s">
        <v>45</v>
      </c>
      <c r="I90" s="121" t="s">
        <v>46</v>
      </c>
      <c r="J90" s="127"/>
      <c r="K90" s="127"/>
      <c r="L90" s="127"/>
      <c r="M90" s="127"/>
      <c r="N90" s="58"/>
    </row>
    <row r="91" spans="2:14" ht="13" x14ac:dyDescent="0.15">
      <c r="B91" s="57" t="str">
        <f t="shared" si="2"/>
        <v>ERR11658778_DQ266096.1_submittername</v>
      </c>
      <c r="C91" s="119" t="str">
        <f t="shared" si="3"/>
        <v>ERR11658778_DQ266096.1_submittername.fa</v>
      </c>
      <c r="D91" s="120" t="s">
        <v>89</v>
      </c>
      <c r="E91" s="120" t="s">
        <v>60</v>
      </c>
      <c r="F91" s="120" t="s">
        <v>94</v>
      </c>
      <c r="G91" s="121" t="s">
        <v>23</v>
      </c>
      <c r="H91" s="125" t="s">
        <v>45</v>
      </c>
      <c r="I91" s="121" t="s">
        <v>46</v>
      </c>
      <c r="J91" s="127"/>
      <c r="K91" s="127"/>
      <c r="L91" s="127"/>
      <c r="M91" s="127"/>
      <c r="N91" s="58"/>
    </row>
    <row r="92" spans="2:14" ht="13" x14ac:dyDescent="0.15">
      <c r="B92" s="57" t="str">
        <f t="shared" si="2"/>
        <v>ERR11658778_DQ266095.1_submittername</v>
      </c>
      <c r="C92" s="119" t="str">
        <f t="shared" si="3"/>
        <v>ERR11658778_DQ266095.1_submittername.fa</v>
      </c>
      <c r="D92" s="120" t="s">
        <v>89</v>
      </c>
      <c r="E92" s="120" t="s">
        <v>62</v>
      </c>
      <c r="F92" s="120" t="s">
        <v>95</v>
      </c>
      <c r="G92" s="121" t="s">
        <v>23</v>
      </c>
      <c r="H92" s="125" t="s">
        <v>45</v>
      </c>
      <c r="I92" s="121" t="s">
        <v>46</v>
      </c>
      <c r="J92" s="127"/>
      <c r="K92" s="127"/>
      <c r="L92" s="127"/>
      <c r="M92" s="127"/>
      <c r="N92" s="58"/>
    </row>
    <row r="93" spans="2:14" ht="13" x14ac:dyDescent="0.15">
      <c r="B93" s="57" t="str">
        <f t="shared" si="2"/>
        <v>ERR11658778_DQ266100.1_submittername</v>
      </c>
      <c r="C93" s="119" t="str">
        <f t="shared" si="3"/>
        <v>ERR11658778_DQ266100.1_submittername.fa</v>
      </c>
      <c r="D93" s="120" t="s">
        <v>89</v>
      </c>
      <c r="E93" s="120" t="s">
        <v>64</v>
      </c>
      <c r="F93" s="120" t="s">
        <v>96</v>
      </c>
      <c r="G93" s="121" t="s">
        <v>23</v>
      </c>
      <c r="H93" s="125" t="s">
        <v>45</v>
      </c>
      <c r="I93" s="121" t="s">
        <v>46</v>
      </c>
      <c r="J93" s="127"/>
      <c r="K93" s="127"/>
      <c r="L93" s="127"/>
      <c r="M93" s="127"/>
      <c r="N93" s="58"/>
    </row>
    <row r="94" spans="2:14" ht="13" x14ac:dyDescent="0.15">
      <c r="B94" s="57" t="str">
        <f t="shared" si="2"/>
        <v>ERR11658778_DQ266101.1_submittername</v>
      </c>
      <c r="C94" s="32" t="str">
        <f t="shared" si="3"/>
        <v>ERR11658778_DQ266101.1_submittername.fa</v>
      </c>
      <c r="D94" s="18" t="s">
        <v>89</v>
      </c>
      <c r="E94" s="18" t="s">
        <v>66</v>
      </c>
      <c r="F94" s="18" t="s">
        <v>97</v>
      </c>
      <c r="G94" s="19" t="s">
        <v>23</v>
      </c>
      <c r="H94" s="21" t="s">
        <v>45</v>
      </c>
      <c r="I94" s="19" t="s">
        <v>46</v>
      </c>
      <c r="J94" s="17"/>
      <c r="K94" s="17"/>
      <c r="L94" s="17"/>
      <c r="M94" s="17"/>
      <c r="N94" s="128"/>
    </row>
    <row r="95" spans="2:14" ht="13" x14ac:dyDescent="0.15">
      <c r="B95" s="130" t="str">
        <f t="shared" si="2"/>
        <v>SRR28460508_NC_026438.1_submittername</v>
      </c>
      <c r="C95" s="119" t="str">
        <f t="shared" si="3"/>
        <v>SRR28460508_NC_026438.1_submittername.fa</v>
      </c>
      <c r="D95" s="120" t="s">
        <v>98</v>
      </c>
      <c r="E95" s="120" t="s">
        <v>51</v>
      </c>
      <c r="F95" s="120" t="s">
        <v>52</v>
      </c>
      <c r="G95" s="121" t="s">
        <v>23</v>
      </c>
      <c r="H95" s="121" t="s">
        <v>24</v>
      </c>
      <c r="I95" s="121" t="s">
        <v>25</v>
      </c>
      <c r="J95" s="127"/>
      <c r="K95" s="127"/>
      <c r="L95" s="127"/>
      <c r="M95" s="127"/>
      <c r="N95" s="58"/>
    </row>
    <row r="96" spans="2:14" ht="13" x14ac:dyDescent="0.15">
      <c r="B96" s="130" t="str">
        <f t="shared" si="2"/>
        <v>SRR28460508_NC_026435.1_submittername</v>
      </c>
      <c r="C96" s="119" t="str">
        <f t="shared" si="3"/>
        <v>SRR28460508_NC_026435.1_submittername.fa</v>
      </c>
      <c r="D96" s="120" t="s">
        <v>98</v>
      </c>
      <c r="E96" s="120" t="s">
        <v>54</v>
      </c>
      <c r="F96" s="120" t="s">
        <v>55</v>
      </c>
      <c r="G96" s="121" t="s">
        <v>23</v>
      </c>
      <c r="H96" s="121" t="s">
        <v>24</v>
      </c>
      <c r="I96" s="121" t="s">
        <v>25</v>
      </c>
      <c r="J96" s="127"/>
      <c r="K96" s="127"/>
      <c r="L96" s="127"/>
      <c r="M96" s="127"/>
      <c r="N96" s="58"/>
    </row>
    <row r="97" spans="2:14" ht="13" x14ac:dyDescent="0.15">
      <c r="B97" s="130" t="str">
        <f t="shared" si="2"/>
        <v>SRR28460508_NC_026437.1_submittername</v>
      </c>
      <c r="C97" s="119" t="str">
        <f t="shared" si="3"/>
        <v>SRR28460508_NC_026437.1_submittername.fa</v>
      </c>
      <c r="D97" s="120" t="s">
        <v>98</v>
      </c>
      <c r="E97" s="120" t="s">
        <v>56</v>
      </c>
      <c r="F97" s="120" t="s">
        <v>57</v>
      </c>
      <c r="G97" s="121" t="s">
        <v>23</v>
      </c>
      <c r="H97" s="121" t="s">
        <v>24</v>
      </c>
      <c r="I97" s="121" t="s">
        <v>25</v>
      </c>
      <c r="J97" s="127"/>
      <c r="K97" s="127"/>
      <c r="L97" s="127"/>
      <c r="M97" s="127"/>
      <c r="N97" s="58"/>
    </row>
    <row r="98" spans="2:14" ht="13" x14ac:dyDescent="0.15">
      <c r="B98" s="130" t="str">
        <f t="shared" si="2"/>
        <v>SRR28460508_NC_026433.1_submittername</v>
      </c>
      <c r="C98" s="119" t="str">
        <f t="shared" si="3"/>
        <v>SRR28460508_NC_026433.1_submittername.fa</v>
      </c>
      <c r="D98" s="120" t="s">
        <v>98</v>
      </c>
      <c r="E98" s="120" t="s">
        <v>58</v>
      </c>
      <c r="F98" s="120" t="s">
        <v>59</v>
      </c>
      <c r="G98" s="121" t="s">
        <v>23</v>
      </c>
      <c r="H98" s="121" t="s">
        <v>24</v>
      </c>
      <c r="I98" s="121" t="s">
        <v>25</v>
      </c>
      <c r="J98" s="127"/>
      <c r="K98" s="127"/>
      <c r="L98" s="127"/>
      <c r="M98" s="127"/>
      <c r="N98" s="58"/>
    </row>
    <row r="99" spans="2:14" ht="13" x14ac:dyDescent="0.15">
      <c r="B99" s="130" t="str">
        <f t="shared" si="2"/>
        <v>SRR28460508_NC_026436.1_submittername</v>
      </c>
      <c r="C99" s="119" t="str">
        <f t="shared" si="3"/>
        <v>SRR28460508_NC_026436.1_submittername.fa</v>
      </c>
      <c r="D99" s="120" t="s">
        <v>98</v>
      </c>
      <c r="E99" s="120" t="s">
        <v>60</v>
      </c>
      <c r="F99" s="120" t="s">
        <v>61</v>
      </c>
      <c r="G99" s="121" t="s">
        <v>23</v>
      </c>
      <c r="H99" s="121" t="s">
        <v>24</v>
      </c>
      <c r="I99" s="121" t="s">
        <v>25</v>
      </c>
      <c r="J99" s="127"/>
      <c r="K99" s="127"/>
      <c r="L99" s="127"/>
      <c r="M99" s="127"/>
      <c r="N99" s="58"/>
    </row>
    <row r="100" spans="2:14" ht="13" x14ac:dyDescent="0.15">
      <c r="B100" s="130" t="str">
        <f t="shared" si="2"/>
        <v>SRR28460508_NC_026434.1_submittername</v>
      </c>
      <c r="C100" s="119" t="str">
        <f t="shared" si="3"/>
        <v>SRR28460508_NC_026434.1_submittername.fa</v>
      </c>
      <c r="D100" s="120" t="s">
        <v>98</v>
      </c>
      <c r="E100" s="120" t="s">
        <v>62</v>
      </c>
      <c r="F100" s="120" t="s">
        <v>63</v>
      </c>
      <c r="G100" s="121" t="s">
        <v>23</v>
      </c>
      <c r="H100" s="121" t="s">
        <v>24</v>
      </c>
      <c r="I100" s="121" t="s">
        <v>25</v>
      </c>
      <c r="J100" s="127"/>
      <c r="K100" s="127"/>
      <c r="L100" s="127"/>
      <c r="M100" s="127"/>
      <c r="N100" s="58"/>
    </row>
    <row r="101" spans="2:14" ht="13" x14ac:dyDescent="0.15">
      <c r="B101" s="130" t="str">
        <f t="shared" si="2"/>
        <v>SRR28460508_NC_026431.1_submittername</v>
      </c>
      <c r="C101" s="119" t="str">
        <f t="shared" si="3"/>
        <v>SRR28460508_NC_026431.1_submittername.fa</v>
      </c>
      <c r="D101" s="120" t="s">
        <v>98</v>
      </c>
      <c r="E101" s="120" t="s">
        <v>64</v>
      </c>
      <c r="F101" s="120" t="s">
        <v>65</v>
      </c>
      <c r="G101" s="121" t="s">
        <v>23</v>
      </c>
      <c r="H101" s="121" t="s">
        <v>24</v>
      </c>
      <c r="I101" s="121" t="s">
        <v>25</v>
      </c>
      <c r="J101" s="127"/>
      <c r="K101" s="127"/>
      <c r="L101" s="127"/>
      <c r="M101" s="127"/>
      <c r="N101" s="58"/>
    </row>
    <row r="102" spans="2:14" ht="13" x14ac:dyDescent="0.15">
      <c r="B102" s="130" t="str">
        <f t="shared" si="2"/>
        <v>SRR28460508_NC_026432.1_submittername</v>
      </c>
      <c r="C102" s="32" t="str">
        <f t="shared" si="3"/>
        <v>SRR28460508_NC_026432.1_submittername.fa</v>
      </c>
      <c r="D102" s="18" t="s">
        <v>98</v>
      </c>
      <c r="E102" s="18" t="s">
        <v>66</v>
      </c>
      <c r="F102" s="18" t="s">
        <v>67</v>
      </c>
      <c r="G102" s="19" t="s">
        <v>23</v>
      </c>
      <c r="H102" s="19" t="s">
        <v>24</v>
      </c>
      <c r="I102" s="19" t="s">
        <v>25</v>
      </c>
      <c r="J102" s="17"/>
      <c r="K102" s="17"/>
      <c r="L102" s="17"/>
      <c r="M102" s="17"/>
      <c r="N102" s="128"/>
    </row>
    <row r="103" spans="2:14" ht="13" x14ac:dyDescent="0.15">
      <c r="B103" s="130" t="str">
        <f t="shared" si="2"/>
        <v>SRR28460730_NC_026438.1_submittername</v>
      </c>
      <c r="C103" s="119" t="str">
        <f t="shared" si="3"/>
        <v>SRR28460730_NC_026438.1_submittername.fa</v>
      </c>
      <c r="D103" s="22" t="s">
        <v>99</v>
      </c>
      <c r="E103" s="22" t="s">
        <v>51</v>
      </c>
      <c r="F103" s="22" t="s">
        <v>52</v>
      </c>
      <c r="G103" s="26" t="s">
        <v>23</v>
      </c>
      <c r="H103" s="26" t="s">
        <v>24</v>
      </c>
      <c r="I103" s="26" t="s">
        <v>25</v>
      </c>
      <c r="J103" s="127"/>
      <c r="K103" s="127"/>
      <c r="L103" s="127"/>
      <c r="M103" s="127"/>
      <c r="N103" s="58"/>
    </row>
    <row r="104" spans="2:14" ht="13" x14ac:dyDescent="0.15">
      <c r="B104" s="130" t="str">
        <f t="shared" si="2"/>
        <v>SRR28460730_NC_026435.1_submittername</v>
      </c>
      <c r="C104" s="119" t="str">
        <f t="shared" si="3"/>
        <v>SRR28460730_NC_026435.1_submittername.fa</v>
      </c>
      <c r="D104" s="120" t="s">
        <v>99</v>
      </c>
      <c r="E104" s="120" t="s">
        <v>54</v>
      </c>
      <c r="F104" s="120" t="s">
        <v>55</v>
      </c>
      <c r="G104" s="121" t="s">
        <v>23</v>
      </c>
      <c r="H104" s="121" t="s">
        <v>24</v>
      </c>
      <c r="I104" s="121" t="s">
        <v>25</v>
      </c>
      <c r="J104" s="127"/>
      <c r="K104" s="127"/>
      <c r="L104" s="127"/>
      <c r="M104" s="127"/>
      <c r="N104" s="58"/>
    </row>
    <row r="105" spans="2:14" ht="13" x14ac:dyDescent="0.15">
      <c r="B105" s="130" t="str">
        <f t="shared" si="2"/>
        <v>SRR28460730_NC_026437.1_submittername</v>
      </c>
      <c r="C105" s="119" t="str">
        <f t="shared" si="3"/>
        <v>SRR28460730_NC_026437.1_submittername.fa</v>
      </c>
      <c r="D105" s="120" t="s">
        <v>99</v>
      </c>
      <c r="E105" s="120" t="s">
        <v>56</v>
      </c>
      <c r="F105" s="120" t="s">
        <v>57</v>
      </c>
      <c r="G105" s="121" t="s">
        <v>23</v>
      </c>
      <c r="H105" s="121" t="s">
        <v>24</v>
      </c>
      <c r="I105" s="121" t="s">
        <v>25</v>
      </c>
      <c r="J105" s="127"/>
      <c r="K105" s="127"/>
      <c r="L105" s="127"/>
      <c r="M105" s="127"/>
      <c r="N105" s="58"/>
    </row>
    <row r="106" spans="2:14" ht="13" x14ac:dyDescent="0.15">
      <c r="B106" s="130" t="str">
        <f t="shared" si="2"/>
        <v>SRR28460730_NC_026433.1_submittername</v>
      </c>
      <c r="C106" s="119" t="str">
        <f t="shared" si="3"/>
        <v>SRR28460730_NC_026433.1_submittername.fa</v>
      </c>
      <c r="D106" s="120" t="s">
        <v>99</v>
      </c>
      <c r="E106" s="120" t="s">
        <v>58</v>
      </c>
      <c r="F106" s="120" t="s">
        <v>59</v>
      </c>
      <c r="G106" s="121" t="s">
        <v>23</v>
      </c>
      <c r="H106" s="121" t="s">
        <v>24</v>
      </c>
      <c r="I106" s="121" t="s">
        <v>25</v>
      </c>
      <c r="J106" s="127"/>
      <c r="K106" s="127"/>
      <c r="L106" s="127"/>
      <c r="M106" s="127"/>
      <c r="N106" s="58"/>
    </row>
    <row r="107" spans="2:14" ht="13" x14ac:dyDescent="0.15">
      <c r="B107" s="130" t="str">
        <f t="shared" si="2"/>
        <v>SRR28460730_NC_026436.1_submittername</v>
      </c>
      <c r="C107" s="119" t="str">
        <f t="shared" si="3"/>
        <v>SRR28460730_NC_026436.1_submittername.fa</v>
      </c>
      <c r="D107" s="120" t="s">
        <v>99</v>
      </c>
      <c r="E107" s="120" t="s">
        <v>60</v>
      </c>
      <c r="F107" s="120" t="s">
        <v>61</v>
      </c>
      <c r="G107" s="121" t="s">
        <v>23</v>
      </c>
      <c r="H107" s="121" t="s">
        <v>24</v>
      </c>
      <c r="I107" s="121" t="s">
        <v>25</v>
      </c>
      <c r="J107" s="127"/>
      <c r="K107" s="127"/>
      <c r="L107" s="127"/>
      <c r="M107" s="127"/>
      <c r="N107" s="58"/>
    </row>
    <row r="108" spans="2:14" ht="13" x14ac:dyDescent="0.15">
      <c r="B108" s="130" t="str">
        <f t="shared" si="2"/>
        <v>SRR28460730_NC_026434.1_submittername</v>
      </c>
      <c r="C108" s="119" t="str">
        <f t="shared" si="3"/>
        <v>SRR28460730_NC_026434.1_submittername.fa</v>
      </c>
      <c r="D108" s="120" t="s">
        <v>99</v>
      </c>
      <c r="E108" s="120" t="s">
        <v>62</v>
      </c>
      <c r="F108" s="120" t="s">
        <v>63</v>
      </c>
      <c r="G108" s="121" t="s">
        <v>23</v>
      </c>
      <c r="H108" s="121" t="s">
        <v>24</v>
      </c>
      <c r="I108" s="121" t="s">
        <v>25</v>
      </c>
      <c r="J108" s="127"/>
      <c r="K108" s="127"/>
      <c r="L108" s="127"/>
      <c r="M108" s="127"/>
      <c r="N108" s="58"/>
    </row>
    <row r="109" spans="2:14" ht="13" x14ac:dyDescent="0.15">
      <c r="B109" s="130" t="str">
        <f t="shared" si="2"/>
        <v>SRR28460730_NC_026431.1_submittername</v>
      </c>
      <c r="C109" s="119" t="str">
        <f t="shared" si="3"/>
        <v>SRR28460730_NC_026431.1_submittername.fa</v>
      </c>
      <c r="D109" s="120" t="s">
        <v>99</v>
      </c>
      <c r="E109" s="120" t="s">
        <v>64</v>
      </c>
      <c r="F109" s="120" t="s">
        <v>65</v>
      </c>
      <c r="G109" s="121" t="s">
        <v>23</v>
      </c>
      <c r="H109" s="121" t="s">
        <v>24</v>
      </c>
      <c r="I109" s="121" t="s">
        <v>25</v>
      </c>
      <c r="J109" s="127"/>
      <c r="K109" s="127"/>
      <c r="L109" s="127"/>
      <c r="M109" s="127"/>
      <c r="N109" s="58"/>
    </row>
    <row r="110" spans="2:14" ht="13" x14ac:dyDescent="0.15">
      <c r="B110" s="130" t="str">
        <f t="shared" si="2"/>
        <v>SRR28460730_NC_026432.1_submittername</v>
      </c>
      <c r="C110" s="32" t="str">
        <f t="shared" si="3"/>
        <v>SRR28460730_NC_026432.1_submittername.fa</v>
      </c>
      <c r="D110" s="18" t="s">
        <v>99</v>
      </c>
      <c r="E110" s="18" t="s">
        <v>66</v>
      </c>
      <c r="F110" s="18" t="s">
        <v>67</v>
      </c>
      <c r="G110" s="19" t="s">
        <v>23</v>
      </c>
      <c r="H110" s="19" t="s">
        <v>24</v>
      </c>
      <c r="I110" s="19" t="s">
        <v>25</v>
      </c>
      <c r="J110" s="17"/>
      <c r="K110" s="17"/>
      <c r="L110" s="17"/>
      <c r="M110" s="17"/>
      <c r="N110" s="128"/>
    </row>
    <row r="111" spans="2:14" ht="13" x14ac:dyDescent="0.15">
      <c r="B111" s="130" t="str">
        <f t="shared" si="2"/>
        <v>SRR28460430_KY654518.1_submittername</v>
      </c>
      <c r="C111" s="137" t="str">
        <f t="shared" si="3"/>
        <v>SRR28460430_KY654518.1_submittername.fa</v>
      </c>
      <c r="D111" s="18" t="s">
        <v>100</v>
      </c>
      <c r="E111" s="18" t="s">
        <v>101</v>
      </c>
      <c r="F111" s="19" t="s">
        <v>102</v>
      </c>
      <c r="G111" s="19" t="s">
        <v>23</v>
      </c>
      <c r="H111" s="19" t="s">
        <v>24</v>
      </c>
      <c r="I111" s="19" t="s">
        <v>25</v>
      </c>
      <c r="J111" s="17"/>
      <c r="K111" s="17"/>
      <c r="L111" s="17"/>
      <c r="M111" s="17"/>
      <c r="N111" s="128"/>
    </row>
    <row r="112" spans="2:14" ht="13" x14ac:dyDescent="0.15">
      <c r="B112" s="130" t="str">
        <f t="shared" si="2"/>
        <v>SRR28460443_MZ516105.1_submittername</v>
      </c>
      <c r="C112" s="122" t="str">
        <f t="shared" si="3"/>
        <v>SRR28460443_MZ516105.1_submittername.fa</v>
      </c>
      <c r="D112" s="28" t="s">
        <v>103</v>
      </c>
      <c r="E112" s="29" t="s">
        <v>104</v>
      </c>
      <c r="F112" s="29" t="s">
        <v>105</v>
      </c>
      <c r="G112" s="29" t="s">
        <v>23</v>
      </c>
      <c r="H112" s="29" t="s">
        <v>24</v>
      </c>
      <c r="I112" s="29" t="s">
        <v>25</v>
      </c>
      <c r="J112" s="27"/>
      <c r="K112" s="27"/>
      <c r="L112" s="27"/>
      <c r="M112" s="27"/>
      <c r="N112" s="131"/>
    </row>
    <row r="113" spans="2:14" ht="13" x14ac:dyDescent="0.15">
      <c r="B113" s="130" t="str">
        <f t="shared" si="2"/>
        <v>SRR6849656_KY654518.1_submittername</v>
      </c>
      <c r="C113" s="122" t="str">
        <f t="shared" si="3"/>
        <v>SRR6849656_KY654518.1_submittername.fa</v>
      </c>
      <c r="D113" s="28" t="s">
        <v>106</v>
      </c>
      <c r="E113" s="28" t="s">
        <v>101</v>
      </c>
      <c r="F113" s="29" t="s">
        <v>102</v>
      </c>
      <c r="G113" s="29" t="s">
        <v>23</v>
      </c>
      <c r="H113" s="29" t="s">
        <v>42</v>
      </c>
      <c r="I113" s="30" t="s">
        <v>43</v>
      </c>
      <c r="J113" s="27"/>
      <c r="K113" s="27"/>
      <c r="L113" s="27"/>
      <c r="M113" s="27"/>
      <c r="N113" s="131"/>
    </row>
    <row r="114" spans="2:14" ht="13" x14ac:dyDescent="0.15">
      <c r="B114" s="130" t="str">
        <f t="shared" si="2"/>
        <v>SRR6849700_KY654518.1_submittername</v>
      </c>
      <c r="C114" s="122" t="str">
        <f t="shared" si="3"/>
        <v>SRR6849700_KY654518.1_submittername.fa</v>
      </c>
      <c r="D114" s="28" t="s">
        <v>107</v>
      </c>
      <c r="E114" s="28" t="s">
        <v>101</v>
      </c>
      <c r="F114" s="29" t="s">
        <v>102</v>
      </c>
      <c r="G114" s="29" t="s">
        <v>23</v>
      </c>
      <c r="H114" s="29" t="s">
        <v>42</v>
      </c>
      <c r="I114" s="30" t="s">
        <v>43</v>
      </c>
      <c r="J114" s="27"/>
      <c r="K114" s="27"/>
      <c r="L114" s="27"/>
      <c r="M114" s="27"/>
      <c r="N114" s="131"/>
    </row>
    <row r="115" spans="2:14" ht="13" x14ac:dyDescent="0.15">
      <c r="B115" s="130" t="str">
        <f t="shared" si="2"/>
        <v>SRR29105551_KY654518.1_submittername</v>
      </c>
      <c r="C115" s="122" t="str">
        <f t="shared" si="3"/>
        <v>SRR29105551_KY654518.1_submittername.fa</v>
      </c>
      <c r="D115" s="28" t="s">
        <v>108</v>
      </c>
      <c r="E115" s="28" t="s">
        <v>101</v>
      </c>
      <c r="F115" s="29" t="s">
        <v>102</v>
      </c>
      <c r="G115" s="29" t="s">
        <v>41</v>
      </c>
      <c r="H115" s="29" t="s">
        <v>42</v>
      </c>
      <c r="I115" s="29" t="s">
        <v>48</v>
      </c>
      <c r="J115" s="27"/>
      <c r="K115" s="27"/>
      <c r="L115" s="27"/>
      <c r="M115" s="27"/>
      <c r="N115" s="131"/>
    </row>
    <row r="116" spans="2:14" ht="13" x14ac:dyDescent="0.15">
      <c r="B116" s="130" t="str">
        <f t="shared" si="2"/>
        <v>SRR29105531_KY654518.1_submittername</v>
      </c>
      <c r="C116" s="122" t="str">
        <f t="shared" si="3"/>
        <v>SRR29105531_KY654518.1_submittername.fa</v>
      </c>
      <c r="D116" s="28" t="s">
        <v>109</v>
      </c>
      <c r="E116" s="28" t="s">
        <v>101</v>
      </c>
      <c r="F116" s="29" t="s">
        <v>102</v>
      </c>
      <c r="G116" s="29" t="s">
        <v>41</v>
      </c>
      <c r="H116" s="29" t="s">
        <v>42</v>
      </c>
      <c r="I116" s="29" t="s">
        <v>48</v>
      </c>
      <c r="J116" s="27"/>
      <c r="K116" s="27"/>
      <c r="L116" s="27"/>
      <c r="M116" s="27"/>
      <c r="N116" s="131"/>
    </row>
    <row r="117" spans="2:14" ht="13" x14ac:dyDescent="0.15">
      <c r="B117" s="130" t="str">
        <f t="shared" si="2"/>
        <v>SRR10033266_MZ516105.1_submittername</v>
      </c>
      <c r="C117" s="122" t="str">
        <f t="shared" si="3"/>
        <v>SRR10033266_MZ516105.1_submittername.fa</v>
      </c>
      <c r="D117" s="28" t="s">
        <v>110</v>
      </c>
      <c r="E117" s="29" t="s">
        <v>104</v>
      </c>
      <c r="F117" s="29" t="s">
        <v>105</v>
      </c>
      <c r="G117" s="29" t="s">
        <v>23</v>
      </c>
      <c r="H117" s="29" t="s">
        <v>42</v>
      </c>
      <c r="I117" s="29" t="s">
        <v>69</v>
      </c>
      <c r="J117" s="27"/>
      <c r="K117" s="27"/>
      <c r="L117" s="27"/>
      <c r="M117" s="27"/>
      <c r="N117" s="131"/>
    </row>
    <row r="118" spans="2:14" ht="13" x14ac:dyDescent="0.15">
      <c r="B118" s="130" t="str">
        <f t="shared" si="2"/>
        <v>SRR10033406_MZ516105.1_submittername</v>
      </c>
      <c r="C118" s="122" t="str">
        <f t="shared" si="3"/>
        <v>SRR10033406_MZ516105.1_submittername.fa</v>
      </c>
      <c r="D118" s="28" t="s">
        <v>111</v>
      </c>
      <c r="E118" s="29" t="s">
        <v>104</v>
      </c>
      <c r="F118" s="29" t="s">
        <v>105</v>
      </c>
      <c r="G118" s="29" t="s">
        <v>23</v>
      </c>
      <c r="H118" s="29" t="s">
        <v>42</v>
      </c>
      <c r="I118" s="29" t="s">
        <v>69</v>
      </c>
      <c r="J118" s="27"/>
      <c r="K118" s="27"/>
      <c r="L118" s="27"/>
      <c r="M118" s="27"/>
      <c r="N118" s="131"/>
    </row>
    <row r="119" spans="2:14" ht="13" x14ac:dyDescent="0.15">
      <c r="B119" s="130" t="str">
        <f t="shared" si="2"/>
        <v>SRR29541224_MZ516105.1_submittername</v>
      </c>
      <c r="C119" s="122" t="str">
        <f t="shared" si="3"/>
        <v>SRR29541224_MZ516105.1_submittername.fa</v>
      </c>
      <c r="D119" s="28" t="s">
        <v>112</v>
      </c>
      <c r="E119" s="29" t="s">
        <v>104</v>
      </c>
      <c r="F119" s="29" t="s">
        <v>105</v>
      </c>
      <c r="G119" s="29" t="s">
        <v>41</v>
      </c>
      <c r="H119" s="29" t="s">
        <v>42</v>
      </c>
      <c r="I119" s="29" t="s">
        <v>48</v>
      </c>
      <c r="J119" s="27"/>
      <c r="K119" s="27"/>
      <c r="L119" s="27"/>
      <c r="M119" s="27"/>
      <c r="N119" s="131"/>
    </row>
    <row r="120" spans="2:14" ht="13" x14ac:dyDescent="0.15">
      <c r="B120" s="130" t="str">
        <f t="shared" si="2"/>
        <v>SRR29541232_MZ516105.1_submittername</v>
      </c>
      <c r="C120" s="122" t="str">
        <f t="shared" si="3"/>
        <v>SRR29541232_MZ516105.1_submittername.fa</v>
      </c>
      <c r="D120" s="28" t="s">
        <v>113</v>
      </c>
      <c r="E120" s="29" t="s">
        <v>104</v>
      </c>
      <c r="F120" s="29" t="s">
        <v>105</v>
      </c>
      <c r="G120" s="29" t="s">
        <v>41</v>
      </c>
      <c r="H120" s="29" t="s">
        <v>42</v>
      </c>
      <c r="I120" s="29" t="s">
        <v>48</v>
      </c>
      <c r="J120" s="27"/>
      <c r="K120" s="27"/>
      <c r="L120" s="27"/>
      <c r="M120" s="27"/>
      <c r="N120" s="131"/>
    </row>
    <row r="121" spans="2:14" ht="13" x14ac:dyDescent="0.15">
      <c r="B121" s="130" t="str">
        <f t="shared" si="2"/>
        <v>SRR27723526_NC_045512.2_submittername</v>
      </c>
      <c r="C121" s="122" t="str">
        <f t="shared" si="3"/>
        <v>SRR27723526_NC_045512.2_submittername.fa</v>
      </c>
      <c r="D121" s="31" t="s">
        <v>114</v>
      </c>
      <c r="E121" s="29" t="s">
        <v>115</v>
      </c>
      <c r="F121" s="29" t="s">
        <v>116</v>
      </c>
      <c r="G121" s="29" t="s">
        <v>23</v>
      </c>
      <c r="H121" s="29" t="s">
        <v>42</v>
      </c>
      <c r="I121" s="29" t="s">
        <v>69</v>
      </c>
      <c r="J121" s="27"/>
      <c r="K121" s="27"/>
      <c r="L121" s="27"/>
      <c r="M121" s="27"/>
      <c r="N121" s="131"/>
    </row>
    <row r="122" spans="2:14" ht="13" x14ac:dyDescent="0.15">
      <c r="B122" s="130" t="str">
        <f t="shared" si="2"/>
        <v>SRR27723604_NC_045512.2_submittername</v>
      </c>
      <c r="C122" s="122" t="str">
        <f t="shared" si="3"/>
        <v>SRR27723604_NC_045512.2_submittername.fa</v>
      </c>
      <c r="D122" s="31" t="s">
        <v>117</v>
      </c>
      <c r="E122" s="29" t="s">
        <v>115</v>
      </c>
      <c r="F122" s="29" t="s">
        <v>116</v>
      </c>
      <c r="G122" s="29" t="s">
        <v>23</v>
      </c>
      <c r="H122" s="29" t="s">
        <v>42</v>
      </c>
      <c r="I122" s="29" t="s">
        <v>69</v>
      </c>
      <c r="J122" s="27"/>
      <c r="K122" s="27"/>
      <c r="L122" s="27"/>
      <c r="M122" s="27"/>
      <c r="N122" s="131"/>
    </row>
    <row r="123" spans="2:14" ht="13" x14ac:dyDescent="0.15">
      <c r="B123" s="130" t="str">
        <f t="shared" si="2"/>
        <v>SRR27723548_NC_045512.2_submittername</v>
      </c>
      <c r="C123" s="122" t="str">
        <f t="shared" si="3"/>
        <v>SRR27723548_NC_045512.2_submittername.fa</v>
      </c>
      <c r="D123" s="31" t="s">
        <v>118</v>
      </c>
      <c r="E123" s="29" t="s">
        <v>115</v>
      </c>
      <c r="F123" s="29" t="s">
        <v>116</v>
      </c>
      <c r="G123" s="29" t="s">
        <v>23</v>
      </c>
      <c r="H123" s="29" t="s">
        <v>42</v>
      </c>
      <c r="I123" s="29" t="s">
        <v>69</v>
      </c>
      <c r="J123" s="27"/>
      <c r="K123" s="27"/>
      <c r="L123" s="27"/>
      <c r="M123" s="27"/>
      <c r="N123" s="131"/>
    </row>
    <row r="124" spans="2:14" ht="13" x14ac:dyDescent="0.15">
      <c r="B124" s="130" t="str">
        <f t="shared" si="2"/>
        <v>SRR21643272_NC_045512.2_submittername</v>
      </c>
      <c r="C124" s="122" t="str">
        <f t="shared" si="3"/>
        <v>SRR21643272_NC_045512.2_submittername.fa</v>
      </c>
      <c r="D124" s="31" t="s">
        <v>119</v>
      </c>
      <c r="E124" s="29" t="s">
        <v>115</v>
      </c>
      <c r="F124" s="29" t="s">
        <v>116</v>
      </c>
      <c r="G124" s="29" t="s">
        <v>23</v>
      </c>
      <c r="H124" s="29" t="s">
        <v>24</v>
      </c>
      <c r="I124" s="29" t="s">
        <v>69</v>
      </c>
      <c r="J124" s="27"/>
      <c r="K124" s="27"/>
      <c r="L124" s="27"/>
      <c r="M124" s="27"/>
      <c r="N124" s="131"/>
    </row>
    <row r="125" spans="2:14" ht="13" x14ac:dyDescent="0.15">
      <c r="B125" s="130" t="str">
        <f t="shared" si="2"/>
        <v>SRR21643274_NC_045512.2_submittername</v>
      </c>
      <c r="C125" s="122" t="str">
        <f t="shared" si="3"/>
        <v>SRR21643274_NC_045512.2_submittername.fa</v>
      </c>
      <c r="D125" s="31" t="s">
        <v>120</v>
      </c>
      <c r="E125" s="29" t="s">
        <v>115</v>
      </c>
      <c r="F125" s="29" t="s">
        <v>116</v>
      </c>
      <c r="G125" s="29" t="s">
        <v>23</v>
      </c>
      <c r="H125" s="29" t="s">
        <v>24</v>
      </c>
      <c r="I125" s="29" t="s">
        <v>69</v>
      </c>
      <c r="J125" s="27"/>
      <c r="K125" s="27"/>
      <c r="L125" s="27"/>
      <c r="M125" s="27"/>
      <c r="N125" s="131"/>
    </row>
    <row r="126" spans="2:14" ht="13" x14ac:dyDescent="0.15">
      <c r="B126" s="130" t="str">
        <f t="shared" si="2"/>
        <v>SRR25780269_NC_045512.2_submittername</v>
      </c>
      <c r="C126" s="122" t="str">
        <f t="shared" si="3"/>
        <v>SRR25780269_NC_045512.2_submittername.fa</v>
      </c>
      <c r="D126" s="28" t="s">
        <v>121</v>
      </c>
      <c r="E126" s="29" t="s">
        <v>115</v>
      </c>
      <c r="F126" s="29" t="s">
        <v>116</v>
      </c>
      <c r="G126" s="29" t="s">
        <v>122</v>
      </c>
      <c r="H126" s="30" t="s">
        <v>123</v>
      </c>
      <c r="I126" s="30" t="s">
        <v>124</v>
      </c>
      <c r="J126" s="27"/>
      <c r="K126" s="27"/>
      <c r="L126" s="27"/>
      <c r="M126" s="27"/>
      <c r="N126" s="131"/>
    </row>
    <row r="127" spans="2:14" ht="13" x14ac:dyDescent="0.15">
      <c r="B127" s="130" t="str">
        <f t="shared" si="2"/>
        <v>SRR21357948_NC_045512.2_submittername</v>
      </c>
      <c r="C127" s="122" t="str">
        <f t="shared" si="3"/>
        <v>SRR21357948_NC_045512.2_submittername.fa</v>
      </c>
      <c r="D127" s="28" t="s">
        <v>125</v>
      </c>
      <c r="E127" s="29" t="s">
        <v>115</v>
      </c>
      <c r="F127" s="29" t="s">
        <v>116</v>
      </c>
      <c r="G127" s="29" t="s">
        <v>122</v>
      </c>
      <c r="H127" s="30" t="s">
        <v>123</v>
      </c>
      <c r="I127" s="30" t="s">
        <v>124</v>
      </c>
      <c r="J127" s="27"/>
      <c r="K127" s="27"/>
      <c r="L127" s="27"/>
      <c r="M127" s="27"/>
      <c r="N127" s="131"/>
    </row>
    <row r="128" spans="2:14" ht="13" x14ac:dyDescent="0.15">
      <c r="B128" s="130" t="str">
        <f t="shared" si="2"/>
        <v>SRR24146478_NC_045512.2_submittername</v>
      </c>
      <c r="C128" s="122" t="str">
        <f t="shared" si="3"/>
        <v>SRR24146478_NC_045512.2_submittername.fa</v>
      </c>
      <c r="D128" s="31" t="s">
        <v>126</v>
      </c>
      <c r="E128" s="29" t="s">
        <v>115</v>
      </c>
      <c r="F128" s="29" t="s">
        <v>116</v>
      </c>
      <c r="G128" s="29" t="s">
        <v>41</v>
      </c>
      <c r="H128" s="29" t="s">
        <v>42</v>
      </c>
      <c r="I128" s="29" t="s">
        <v>69</v>
      </c>
      <c r="J128" s="27"/>
      <c r="K128" s="27"/>
      <c r="L128" s="27"/>
      <c r="M128" s="27"/>
      <c r="N128" s="131"/>
    </row>
    <row r="129" spans="2:14" ht="13" x14ac:dyDescent="0.15">
      <c r="B129" s="130" t="str">
        <f t="shared" si="2"/>
        <v>SRR24146463_NC_045512.2_submittername</v>
      </c>
      <c r="C129" s="122" t="str">
        <f t="shared" si="3"/>
        <v>SRR24146463_NC_045512.2_submittername.fa</v>
      </c>
      <c r="D129" s="31" t="s">
        <v>127</v>
      </c>
      <c r="E129" s="29" t="s">
        <v>115</v>
      </c>
      <c r="F129" s="29" t="s">
        <v>116</v>
      </c>
      <c r="G129" s="29" t="s">
        <v>41</v>
      </c>
      <c r="H129" s="29" t="s">
        <v>42</v>
      </c>
      <c r="I129" s="29" t="s">
        <v>69</v>
      </c>
      <c r="J129" s="27"/>
      <c r="K129" s="27"/>
      <c r="L129" s="27"/>
      <c r="M129" s="27"/>
      <c r="N129" s="131"/>
    </row>
    <row r="130" spans="2:14" ht="14" thickBot="1" x14ac:dyDescent="0.2">
      <c r="B130" s="132" t="str">
        <f t="shared" si="2"/>
        <v>SRR27033643_NC_045512.2_submittername</v>
      </c>
      <c r="C130" s="64" t="str">
        <f>D130 &amp; "_" &amp; F130 &amp; "_" &amp; $B$5 &amp; "." &amp; $C$5</f>
        <v>SRR27033643_NC_045512.2_submittername.fa</v>
      </c>
      <c r="D130" s="134" t="s">
        <v>128</v>
      </c>
      <c r="E130" s="135" t="s">
        <v>115</v>
      </c>
      <c r="F130" s="135" t="s">
        <v>116</v>
      </c>
      <c r="G130" s="135" t="s">
        <v>41</v>
      </c>
      <c r="H130" s="135" t="s">
        <v>42</v>
      </c>
      <c r="I130" s="135" t="s">
        <v>129</v>
      </c>
      <c r="J130" s="133"/>
      <c r="K130" s="133"/>
      <c r="L130" s="133"/>
      <c r="M130" s="133"/>
      <c r="N130" s="136"/>
    </row>
  </sheetData>
  <mergeCells count="3">
    <mergeCell ref="B1:I1"/>
    <mergeCell ref="D2:E2"/>
    <mergeCell ref="D3:E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E6269-6750-4017-965B-FE75828EBD8E}">
  <sheetPr codeName="Sheet3"/>
  <dimension ref="A1:AP30"/>
  <sheetViews>
    <sheetView workbookViewId="0">
      <selection activeCell="R22" sqref="R22"/>
    </sheetView>
  </sheetViews>
  <sheetFormatPr baseColWidth="10" defaultColWidth="8.83203125" defaultRowHeight="14" x14ac:dyDescent="0.15"/>
  <cols>
    <col min="1" max="1" width="2.5" style="67" customWidth="1"/>
    <col min="2" max="2" width="31.83203125" style="67" customWidth="1"/>
    <col min="3" max="3" width="23.83203125" style="67" customWidth="1"/>
    <col min="4" max="4" width="23.83203125" style="67" hidden="1" customWidth="1"/>
    <col min="5" max="5" width="61.5" style="67" customWidth="1"/>
    <col min="6" max="6" width="50.1640625" style="67" customWidth="1"/>
    <col min="7" max="7" width="17" style="67" customWidth="1"/>
    <col min="8" max="8" width="26" style="67" customWidth="1"/>
    <col min="9" max="9" width="35.83203125" style="67" customWidth="1"/>
    <col min="10" max="10" width="23.5" style="67" customWidth="1"/>
    <col min="11" max="11" width="29.5" style="67" customWidth="1"/>
    <col min="12" max="13" width="23.5" style="67" customWidth="1"/>
    <col min="14" max="14" width="21" style="67" customWidth="1"/>
    <col min="15" max="15" width="25" style="67" customWidth="1"/>
    <col min="16" max="16" width="25.5" style="67" customWidth="1"/>
    <col min="17" max="18" width="26" style="67" customWidth="1"/>
    <col min="19" max="20" width="29.6640625" style="67" customWidth="1"/>
    <col min="21" max="28" width="26" style="67" customWidth="1"/>
    <col min="29" max="29" width="28.5" style="67" customWidth="1"/>
    <col min="30" max="30" width="26.5" style="67" customWidth="1"/>
    <col min="31" max="32" width="28.5" style="67" customWidth="1"/>
    <col min="33" max="33" width="42.6640625" style="67" customWidth="1"/>
    <col min="34" max="34" width="38" style="67" customWidth="1"/>
    <col min="35" max="35" width="38.6640625" style="67" customWidth="1"/>
    <col min="36" max="36" width="28" style="67" customWidth="1"/>
    <col min="37" max="37" width="26.83203125" style="67" customWidth="1"/>
    <col min="38" max="39" width="27.83203125" style="67" customWidth="1"/>
    <col min="40" max="40" width="22.5" style="67" customWidth="1"/>
    <col min="41" max="41" width="27.33203125" style="67" customWidth="1"/>
    <col min="42" max="42" width="17.5" style="67" customWidth="1"/>
    <col min="43" max="43" width="19.5" style="67" customWidth="1"/>
    <col min="44" max="44" width="14.5" style="67" customWidth="1"/>
    <col min="45" max="16384" width="8.83203125" style="67"/>
  </cols>
  <sheetData>
    <row r="1" spans="1:42" customFormat="1" thickBot="1" x14ac:dyDescent="0.2">
      <c r="A1" s="1"/>
      <c r="B1" s="105"/>
      <c r="C1" s="106"/>
      <c r="D1" s="106"/>
      <c r="E1" s="106"/>
      <c r="F1" s="106"/>
      <c r="G1" s="106"/>
      <c r="H1" s="106"/>
      <c r="I1" s="106"/>
      <c r="J1" s="106"/>
    </row>
    <row r="2" spans="1:42" customFormat="1" thickTop="1" x14ac:dyDescent="0.15">
      <c r="A2" s="1"/>
      <c r="B2" s="2" t="s">
        <v>1</v>
      </c>
      <c r="C2" s="2" t="s">
        <v>2</v>
      </c>
      <c r="D2" s="2"/>
      <c r="E2" s="107" t="s">
        <v>3</v>
      </c>
      <c r="F2" s="108"/>
      <c r="G2" s="3"/>
      <c r="H2" s="3"/>
      <c r="I2" s="3"/>
      <c r="J2" s="3"/>
      <c r="K2" s="3"/>
      <c r="L2" s="3"/>
      <c r="M2" s="3"/>
      <c r="N2" s="3"/>
      <c r="O2" s="4"/>
    </row>
    <row r="3" spans="1:42" customFormat="1" ht="24.75" customHeight="1" thickBot="1" x14ac:dyDescent="0.2">
      <c r="A3" s="1"/>
      <c r="B3" s="74"/>
      <c r="C3" s="74"/>
      <c r="D3" s="74"/>
      <c r="E3" s="111"/>
      <c r="F3" s="112"/>
      <c r="G3" s="6"/>
      <c r="H3" s="6"/>
      <c r="I3" s="6"/>
      <c r="J3" s="6"/>
      <c r="K3" s="6"/>
      <c r="L3" s="6"/>
      <c r="M3" s="6"/>
      <c r="N3" s="6"/>
      <c r="O3" s="7"/>
    </row>
    <row r="4" spans="1:42" customFormat="1" ht="15" thickTop="1" thickBot="1" x14ac:dyDescent="0.2">
      <c r="A4" s="8"/>
      <c r="B4" s="9" t="s">
        <v>4</v>
      </c>
      <c r="C4" s="11"/>
      <c r="D4" s="11"/>
      <c r="E4" s="11"/>
      <c r="F4" s="12"/>
      <c r="G4" s="12"/>
      <c r="H4" s="12"/>
      <c r="I4" s="12"/>
      <c r="J4" s="12"/>
      <c r="K4" s="6"/>
      <c r="L4" s="6"/>
      <c r="M4" s="6"/>
      <c r="N4" s="6"/>
      <c r="O4" s="7"/>
    </row>
    <row r="5" spans="1:42" customFormat="1" ht="24.75" customHeight="1" thickTop="1" thickBot="1" x14ac:dyDescent="0.2">
      <c r="A5" s="1"/>
      <c r="B5" s="13" t="s">
        <v>6</v>
      </c>
      <c r="C5" s="11"/>
      <c r="D5" s="12"/>
      <c r="E5" s="12"/>
      <c r="F5" s="12"/>
      <c r="G5" s="12"/>
      <c r="H5" s="12"/>
      <c r="I5" s="12"/>
      <c r="J5" s="12"/>
      <c r="K5" s="6"/>
      <c r="L5" s="6"/>
      <c r="M5" s="6"/>
      <c r="N5" s="6"/>
      <c r="O5" s="7"/>
    </row>
    <row r="6" spans="1:42" x14ac:dyDescent="0.15">
      <c r="B6" s="116" t="s">
        <v>251</v>
      </c>
      <c r="C6" s="117"/>
      <c r="D6" s="117"/>
      <c r="E6" s="117"/>
      <c r="F6" s="118"/>
      <c r="G6" s="113" t="s">
        <v>250</v>
      </c>
      <c r="H6" s="114"/>
      <c r="I6" s="114"/>
      <c r="J6" s="114"/>
      <c r="K6" s="114"/>
      <c r="L6" s="114"/>
      <c r="M6" s="115"/>
      <c r="N6" s="113" t="s">
        <v>249</v>
      </c>
      <c r="O6" s="114"/>
      <c r="P6" s="114"/>
      <c r="Q6" s="114"/>
      <c r="R6" s="114"/>
      <c r="S6" s="114"/>
      <c r="T6" s="114"/>
      <c r="U6" s="114"/>
      <c r="V6" s="114"/>
      <c r="W6" s="114"/>
      <c r="X6" s="114"/>
      <c r="Y6" s="114"/>
      <c r="Z6" s="114"/>
      <c r="AA6" s="114"/>
      <c r="AB6" s="115"/>
      <c r="AC6" s="113" t="s">
        <v>248</v>
      </c>
      <c r="AD6" s="114"/>
      <c r="AE6" s="114"/>
      <c r="AF6" s="114"/>
      <c r="AG6" s="114"/>
      <c r="AH6" s="114"/>
      <c r="AI6" s="114"/>
      <c r="AJ6" s="114"/>
      <c r="AK6" s="114"/>
      <c r="AL6" s="114"/>
      <c r="AM6" s="114"/>
      <c r="AN6" s="114"/>
      <c r="AO6" s="115"/>
      <c r="AP6" s="75"/>
    </row>
    <row r="7" spans="1:42" s="68" customFormat="1" ht="81" customHeight="1" x14ac:dyDescent="0.15">
      <c r="B7" s="76" t="s">
        <v>247</v>
      </c>
      <c r="C7" s="77" t="s">
        <v>246</v>
      </c>
      <c r="D7" s="77" t="s">
        <v>281</v>
      </c>
      <c r="E7" s="77" t="s">
        <v>245</v>
      </c>
      <c r="F7" s="77" t="s">
        <v>244</v>
      </c>
      <c r="G7" s="78" t="s">
        <v>243</v>
      </c>
      <c r="H7" s="78" t="s">
        <v>242</v>
      </c>
      <c r="I7" s="78" t="s">
        <v>241</v>
      </c>
      <c r="J7" s="78" t="s">
        <v>240</v>
      </c>
      <c r="K7" s="78" t="s">
        <v>239</v>
      </c>
      <c r="L7" s="78" t="s">
        <v>238</v>
      </c>
      <c r="M7" s="78" t="s">
        <v>237</v>
      </c>
      <c r="N7" s="79" t="s">
        <v>236</v>
      </c>
      <c r="O7" s="79" t="s">
        <v>235</v>
      </c>
      <c r="P7" s="79" t="s">
        <v>234</v>
      </c>
      <c r="Q7" s="79" t="s">
        <v>233</v>
      </c>
      <c r="R7" s="79" t="s">
        <v>232</v>
      </c>
      <c r="S7" s="79" t="s">
        <v>231</v>
      </c>
      <c r="T7" s="79" t="s">
        <v>230</v>
      </c>
      <c r="U7" s="79" t="s">
        <v>229</v>
      </c>
      <c r="V7" s="79" t="s">
        <v>228</v>
      </c>
      <c r="W7" s="79" t="s">
        <v>227</v>
      </c>
      <c r="X7" s="79" t="s">
        <v>226</v>
      </c>
      <c r="Y7" s="79" t="s">
        <v>225</v>
      </c>
      <c r="Z7" s="79" t="s">
        <v>224</v>
      </c>
      <c r="AA7" s="79" t="s">
        <v>223</v>
      </c>
      <c r="AB7" s="79" t="s">
        <v>222</v>
      </c>
      <c r="AC7" s="80" t="s">
        <v>221</v>
      </c>
      <c r="AD7" s="80" t="s">
        <v>220</v>
      </c>
      <c r="AE7" s="80" t="s">
        <v>219</v>
      </c>
      <c r="AF7" s="80" t="s">
        <v>218</v>
      </c>
      <c r="AG7" s="80" t="s">
        <v>217</v>
      </c>
      <c r="AH7" s="80" t="s">
        <v>216</v>
      </c>
      <c r="AI7" s="80" t="s">
        <v>215</v>
      </c>
      <c r="AJ7" s="80" t="s">
        <v>214</v>
      </c>
      <c r="AK7" s="80" t="s">
        <v>213</v>
      </c>
      <c r="AL7" s="80" t="s">
        <v>212</v>
      </c>
      <c r="AM7" s="80" t="s">
        <v>211</v>
      </c>
      <c r="AN7" s="80" t="s">
        <v>210</v>
      </c>
      <c r="AO7" s="80" t="s">
        <v>209</v>
      </c>
      <c r="AP7" s="81" t="s">
        <v>208</v>
      </c>
    </row>
    <row r="8" spans="1:42" ht="15" customHeight="1" x14ac:dyDescent="0.15">
      <c r="B8" s="82" t="s">
        <v>207</v>
      </c>
      <c r="C8" s="70" t="s">
        <v>130</v>
      </c>
      <c r="D8" s="70" t="s">
        <v>130</v>
      </c>
      <c r="E8" s="70" t="s">
        <v>206</v>
      </c>
      <c r="F8" s="70" t="str">
        <f>D8 &amp; "_" &amp; $B$5</f>
        <v>SC2_composite_submittername</v>
      </c>
      <c r="G8" s="83"/>
      <c r="I8" s="83"/>
      <c r="J8" s="83"/>
      <c r="K8" s="83"/>
      <c r="L8" s="83"/>
      <c r="M8" s="83"/>
      <c r="N8" s="83"/>
      <c r="AP8" s="84"/>
    </row>
    <row r="9" spans="1:42" ht="15" customHeight="1" x14ac:dyDescent="0.15">
      <c r="B9" s="82" t="s">
        <v>205</v>
      </c>
      <c r="C9" s="70" t="s">
        <v>131</v>
      </c>
      <c r="D9" s="70" t="s">
        <v>131</v>
      </c>
      <c r="E9" s="70" t="s">
        <v>204</v>
      </c>
      <c r="F9" s="70" t="str">
        <f t="shared" ref="F9:F28" si="0">D9 &amp; "_" &amp; $B$5</f>
        <v>RSVA_1540_submittername</v>
      </c>
      <c r="G9" s="83"/>
      <c r="I9" s="83"/>
      <c r="J9" s="83"/>
      <c r="K9" s="83"/>
      <c r="L9" s="83"/>
      <c r="M9" s="83"/>
      <c r="N9" s="83"/>
      <c r="AP9" s="84"/>
    </row>
    <row r="10" spans="1:42" ht="15" customHeight="1" x14ac:dyDescent="0.15">
      <c r="B10" s="82" t="s">
        <v>203</v>
      </c>
      <c r="C10" s="70" t="s">
        <v>132</v>
      </c>
      <c r="D10" s="70" t="s">
        <v>132</v>
      </c>
      <c r="E10" s="70" t="s">
        <v>202</v>
      </c>
      <c r="F10" s="70" t="str">
        <f t="shared" si="0"/>
        <v>RSVB_3381_submittername</v>
      </c>
      <c r="G10" s="83"/>
      <c r="I10" s="83"/>
      <c r="J10" s="83"/>
      <c r="K10" s="83"/>
      <c r="L10" s="83"/>
      <c r="M10" s="83"/>
      <c r="N10" s="83"/>
      <c r="AP10" s="84"/>
    </row>
    <row r="11" spans="1:42" ht="15" customHeight="1" x14ac:dyDescent="0.15">
      <c r="B11" s="82" t="s">
        <v>201</v>
      </c>
      <c r="C11" s="70" t="s">
        <v>133</v>
      </c>
      <c r="D11" s="70" t="s">
        <v>133</v>
      </c>
      <c r="E11" s="70" t="s">
        <v>200</v>
      </c>
      <c r="F11" s="70" t="str">
        <f t="shared" si="0"/>
        <v>H1N1_1469_submittername</v>
      </c>
      <c r="G11" s="83"/>
      <c r="I11" s="83"/>
      <c r="J11" s="83"/>
      <c r="K11" s="83"/>
      <c r="L11" s="83"/>
      <c r="M11" s="83"/>
      <c r="N11" s="83"/>
      <c r="AP11" s="84"/>
    </row>
    <row r="12" spans="1:42" ht="15" customHeight="1" x14ac:dyDescent="0.15">
      <c r="B12" s="82" t="s">
        <v>199</v>
      </c>
      <c r="C12" s="70" t="s">
        <v>134</v>
      </c>
      <c r="D12" s="70" t="s">
        <v>134</v>
      </c>
      <c r="E12" s="70" t="s">
        <v>198</v>
      </c>
      <c r="F12" s="70" t="str">
        <f t="shared" si="0"/>
        <v>H3N2_777_submittername</v>
      </c>
      <c r="G12" s="83"/>
      <c r="I12" s="83"/>
      <c r="J12" s="83"/>
      <c r="K12" s="83"/>
      <c r="L12" s="83"/>
      <c r="M12" s="83"/>
      <c r="N12" s="83"/>
      <c r="AP12" s="84"/>
    </row>
    <row r="13" spans="1:42" ht="15" customHeight="1" x14ac:dyDescent="0.15">
      <c r="B13" s="82" t="s">
        <v>197</v>
      </c>
      <c r="C13" s="70" t="s">
        <v>135</v>
      </c>
      <c r="D13" s="70" t="s">
        <v>135</v>
      </c>
      <c r="E13" s="70" t="s">
        <v>196</v>
      </c>
      <c r="F13" s="70" t="str">
        <f t="shared" si="0"/>
        <v>INFB_1931_submittername</v>
      </c>
      <c r="G13" s="83"/>
      <c r="I13" s="83"/>
      <c r="J13" s="83"/>
      <c r="K13" s="83"/>
      <c r="L13" s="83"/>
      <c r="M13" s="83"/>
      <c r="N13" s="83"/>
      <c r="AP13" s="84"/>
    </row>
    <row r="14" spans="1:42" ht="15" customHeight="1" x14ac:dyDescent="0.15">
      <c r="B14" s="82" t="s">
        <v>195</v>
      </c>
      <c r="C14" s="83" t="s">
        <v>136</v>
      </c>
      <c r="D14" s="83" t="s">
        <v>282</v>
      </c>
      <c r="E14" s="85" t="s">
        <v>194</v>
      </c>
      <c r="F14" s="70" t="str">
        <f t="shared" si="0"/>
        <v>MIX1-A_1469-777_1-500_submittername</v>
      </c>
      <c r="G14" s="83"/>
      <c r="I14" s="83"/>
      <c r="J14" s="83"/>
      <c r="K14" s="83"/>
      <c r="L14" s="83"/>
      <c r="M14" s="83"/>
      <c r="N14" s="83"/>
      <c r="AP14" s="84"/>
    </row>
    <row r="15" spans="1:42" ht="15" customHeight="1" x14ac:dyDescent="0.15">
      <c r="B15" s="82" t="s">
        <v>193</v>
      </c>
      <c r="C15" s="83" t="s">
        <v>137</v>
      </c>
      <c r="D15" s="83" t="s">
        <v>283</v>
      </c>
      <c r="E15" s="85" t="s">
        <v>192</v>
      </c>
      <c r="F15" s="70" t="str">
        <f t="shared" si="0"/>
        <v>MIX1-B_1469-777_1-100_submittername</v>
      </c>
      <c r="G15" s="83"/>
      <c r="I15" s="83"/>
      <c r="J15" s="83"/>
      <c r="K15" s="83"/>
      <c r="L15" s="83"/>
      <c r="M15" s="83"/>
      <c r="N15" s="83"/>
      <c r="AP15" s="84"/>
    </row>
    <row r="16" spans="1:42" ht="15" customHeight="1" x14ac:dyDescent="0.15">
      <c r="B16" s="82" t="s">
        <v>191</v>
      </c>
      <c r="C16" s="83" t="s">
        <v>138</v>
      </c>
      <c r="D16" s="83" t="s">
        <v>284</v>
      </c>
      <c r="E16" s="85" t="s">
        <v>190</v>
      </c>
      <c r="F16" s="70" t="str">
        <f t="shared" si="0"/>
        <v>MIX1-C_1469-777_1-25_submittername</v>
      </c>
      <c r="G16" s="83"/>
      <c r="I16" s="83"/>
      <c r="J16" s="83"/>
      <c r="K16" s="83"/>
      <c r="L16" s="83"/>
      <c r="M16" s="83"/>
      <c r="N16" s="83"/>
      <c r="AP16" s="84"/>
    </row>
    <row r="17" spans="2:42" ht="15" customHeight="1" x14ac:dyDescent="0.15">
      <c r="B17" s="82" t="s">
        <v>189</v>
      </c>
      <c r="C17" s="83" t="s">
        <v>139</v>
      </c>
      <c r="D17" s="83" t="s">
        <v>139</v>
      </c>
      <c r="E17" s="86" t="s">
        <v>188</v>
      </c>
      <c r="F17" s="70" t="str">
        <f t="shared" si="0"/>
        <v>MIX2-A_1540-3381_4-1_submittername</v>
      </c>
      <c r="G17" s="83"/>
      <c r="I17" s="83"/>
      <c r="J17" s="83"/>
      <c r="K17" s="83"/>
      <c r="L17" s="83"/>
      <c r="M17" s="83"/>
      <c r="N17" s="83"/>
      <c r="AP17" s="84"/>
    </row>
    <row r="18" spans="2:42" ht="15" customHeight="1" x14ac:dyDescent="0.15">
      <c r="B18" s="82" t="s">
        <v>187</v>
      </c>
      <c r="C18" s="70" t="s">
        <v>140</v>
      </c>
      <c r="D18" s="70" t="s">
        <v>140</v>
      </c>
      <c r="E18" s="71" t="s">
        <v>186</v>
      </c>
      <c r="F18" s="70" t="str">
        <f t="shared" si="0"/>
        <v>MIX2-B_1540-3381_1-1_submittername</v>
      </c>
      <c r="G18" s="83"/>
      <c r="I18" s="83"/>
      <c r="J18" s="83"/>
      <c r="K18" s="83"/>
      <c r="L18" s="83"/>
      <c r="M18" s="83"/>
      <c r="N18" s="83"/>
      <c r="AP18" s="84"/>
    </row>
    <row r="19" spans="2:42" ht="15" customHeight="1" x14ac:dyDescent="0.15">
      <c r="B19" s="82" t="s">
        <v>185</v>
      </c>
      <c r="C19" s="70" t="s">
        <v>141</v>
      </c>
      <c r="D19" s="70" t="s">
        <v>141</v>
      </c>
      <c r="E19" s="71" t="s">
        <v>184</v>
      </c>
      <c r="F19" s="70" t="str">
        <f t="shared" si="0"/>
        <v>MIX2-C_1540-3381_1-4_submittername</v>
      </c>
      <c r="G19" s="83"/>
      <c r="I19" s="83"/>
      <c r="J19" s="83"/>
      <c r="K19" s="83"/>
      <c r="L19" s="83"/>
      <c r="M19" s="83"/>
      <c r="N19" s="83"/>
      <c r="AP19" s="84"/>
    </row>
    <row r="20" spans="2:42" ht="15" customHeight="1" x14ac:dyDescent="0.15">
      <c r="B20" s="82" t="s">
        <v>183</v>
      </c>
      <c r="C20" s="70" t="s">
        <v>142</v>
      </c>
      <c r="D20" s="83" t="s">
        <v>285</v>
      </c>
      <c r="E20" s="85" t="s">
        <v>182</v>
      </c>
      <c r="F20" s="70" t="str">
        <f t="shared" si="0"/>
        <v>MIX3-A_1540-1469_2000-1_submittername</v>
      </c>
      <c r="G20" s="83"/>
      <c r="I20" s="83"/>
      <c r="J20" s="83"/>
      <c r="K20" s="83"/>
      <c r="L20" s="83"/>
      <c r="M20" s="83"/>
      <c r="N20" s="83"/>
      <c r="AP20" s="84"/>
    </row>
    <row r="21" spans="2:42" ht="15" customHeight="1" x14ac:dyDescent="0.15">
      <c r="B21" s="82" t="s">
        <v>181</v>
      </c>
      <c r="C21" s="70" t="s">
        <v>143</v>
      </c>
      <c r="D21" s="83" t="s">
        <v>286</v>
      </c>
      <c r="E21" s="85" t="s">
        <v>180</v>
      </c>
      <c r="F21" s="70" t="str">
        <f t="shared" si="0"/>
        <v>MIX3-B_1540-1469_500-1_submittername</v>
      </c>
      <c r="G21" s="83"/>
      <c r="I21" s="83"/>
      <c r="J21" s="83"/>
      <c r="K21" s="83"/>
      <c r="L21" s="83"/>
      <c r="M21" s="83"/>
      <c r="N21" s="83"/>
      <c r="AP21" s="84"/>
    </row>
    <row r="22" spans="2:42" ht="15" customHeight="1" x14ac:dyDescent="0.15">
      <c r="B22" s="82" t="s">
        <v>179</v>
      </c>
      <c r="C22" s="70" t="s">
        <v>144</v>
      </c>
      <c r="D22" s="83" t="s">
        <v>287</v>
      </c>
      <c r="E22" s="85" t="s">
        <v>178</v>
      </c>
      <c r="F22" s="70" t="str">
        <f t="shared" si="0"/>
        <v>MIX3-C_1540-1469_125-1_submittername</v>
      </c>
      <c r="G22" s="83"/>
      <c r="I22" s="83"/>
      <c r="J22" s="83"/>
      <c r="K22" s="83"/>
      <c r="L22" s="83"/>
      <c r="M22" s="83"/>
      <c r="N22" s="83"/>
      <c r="AP22" s="84"/>
    </row>
    <row r="23" spans="2:42" ht="15" customHeight="1" x14ac:dyDescent="0.15">
      <c r="B23" s="87" t="s">
        <v>177</v>
      </c>
      <c r="C23" s="72" t="s">
        <v>176</v>
      </c>
      <c r="D23" s="83" t="s">
        <v>288</v>
      </c>
      <c r="E23" s="72" t="s">
        <v>175</v>
      </c>
      <c r="F23" s="70" t="str">
        <f t="shared" si="0"/>
        <v>MIX4-A_1540-1469_4-1_submittername</v>
      </c>
      <c r="G23" s="83"/>
      <c r="H23" s="83"/>
      <c r="I23" s="83"/>
      <c r="J23" s="83"/>
      <c r="K23" s="83"/>
      <c r="L23" s="83"/>
      <c r="M23" s="83"/>
      <c r="N23" s="83"/>
      <c r="AP23" s="84"/>
    </row>
    <row r="24" spans="2:42" ht="15" customHeight="1" x14ac:dyDescent="0.15">
      <c r="B24" s="88" t="s">
        <v>174</v>
      </c>
      <c r="C24" s="73" t="s">
        <v>173</v>
      </c>
      <c r="D24" s="83" t="s">
        <v>289</v>
      </c>
      <c r="E24" s="73" t="s">
        <v>172</v>
      </c>
      <c r="F24" s="70" t="str">
        <f t="shared" si="0"/>
        <v>MIX4-B_1540-1469_1-1_submittername</v>
      </c>
      <c r="G24" s="83"/>
      <c r="H24" s="83"/>
      <c r="I24" s="83"/>
      <c r="J24" s="83"/>
      <c r="K24" s="83"/>
      <c r="L24" s="83"/>
      <c r="M24" s="83"/>
      <c r="N24" s="83"/>
      <c r="AP24" s="84"/>
    </row>
    <row r="25" spans="2:42" ht="15" customHeight="1" x14ac:dyDescent="0.15">
      <c r="B25" s="88" t="s">
        <v>171</v>
      </c>
      <c r="C25" s="73" t="s">
        <v>170</v>
      </c>
      <c r="D25" s="83" t="s">
        <v>290</v>
      </c>
      <c r="E25" s="73" t="s">
        <v>169</v>
      </c>
      <c r="F25" s="70" t="str">
        <f t="shared" si="0"/>
        <v>MIX4-C_1540-1469_1-4_submittername</v>
      </c>
      <c r="G25" s="83"/>
      <c r="H25" s="83"/>
      <c r="I25" s="83"/>
      <c r="J25" s="83"/>
      <c r="K25" s="83"/>
      <c r="L25" s="83"/>
      <c r="M25" s="83"/>
      <c r="N25" s="83"/>
      <c r="AP25" s="84"/>
    </row>
    <row r="26" spans="2:42" ht="15" customHeight="1" x14ac:dyDescent="0.15">
      <c r="B26" s="88" t="s">
        <v>168</v>
      </c>
      <c r="C26" s="73" t="s">
        <v>167</v>
      </c>
      <c r="D26" s="83" t="s">
        <v>167</v>
      </c>
      <c r="E26" s="73" t="s">
        <v>166</v>
      </c>
      <c r="F26" s="70" t="str">
        <f t="shared" si="0"/>
        <v>MIX5-A_1540-1469_4-1_submittername</v>
      </c>
      <c r="G26" s="83"/>
      <c r="H26" s="83"/>
      <c r="I26" s="83"/>
      <c r="J26" s="83"/>
      <c r="K26" s="83"/>
      <c r="L26" s="83"/>
      <c r="M26" s="83"/>
      <c r="N26" s="83"/>
      <c r="AP26" s="84"/>
    </row>
    <row r="27" spans="2:42" ht="15" customHeight="1" x14ac:dyDescent="0.15">
      <c r="B27" s="87" t="s">
        <v>165</v>
      </c>
      <c r="C27" s="72" t="s">
        <v>164</v>
      </c>
      <c r="D27" s="83" t="s">
        <v>164</v>
      </c>
      <c r="E27" s="72" t="s">
        <v>163</v>
      </c>
      <c r="F27" s="70" t="str">
        <f t="shared" si="0"/>
        <v>MIX5-B_1540-1469_1-1_submittername</v>
      </c>
      <c r="G27" s="83"/>
      <c r="H27" s="83"/>
      <c r="I27" s="83"/>
      <c r="J27" s="83"/>
      <c r="K27" s="83"/>
      <c r="L27" s="83"/>
      <c r="M27" s="83"/>
      <c r="N27" s="83"/>
      <c r="AP27" s="84"/>
    </row>
    <row r="28" spans="2:42" ht="15" customHeight="1" thickBot="1" x14ac:dyDescent="0.2">
      <c r="B28" s="89" t="s">
        <v>162</v>
      </c>
      <c r="C28" s="90" t="s">
        <v>161</v>
      </c>
      <c r="D28" s="92" t="s">
        <v>161</v>
      </c>
      <c r="E28" s="90" t="s">
        <v>160</v>
      </c>
      <c r="F28" s="94" t="str">
        <f t="shared" si="0"/>
        <v>MIX5-C_1540-1469_1-4_submittername</v>
      </c>
      <c r="G28" s="92"/>
      <c r="H28" s="92"/>
      <c r="I28" s="92"/>
      <c r="J28" s="92"/>
      <c r="K28" s="92"/>
      <c r="L28" s="92"/>
      <c r="M28" s="92"/>
      <c r="N28" s="92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3"/>
      <c r="AC28" s="93"/>
      <c r="AD28" s="93"/>
      <c r="AE28" s="93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1"/>
    </row>
    <row r="30" spans="2:42" x14ac:dyDescent="0.15">
      <c r="B30" s="67" t="s">
        <v>159</v>
      </c>
    </row>
  </sheetData>
  <mergeCells count="7">
    <mergeCell ref="AC6:AO6"/>
    <mergeCell ref="B6:F6"/>
    <mergeCell ref="B1:J1"/>
    <mergeCell ref="E2:F2"/>
    <mergeCell ref="E3:F3"/>
    <mergeCell ref="G6:M6"/>
    <mergeCell ref="N6:AB6"/>
  </mergeCells>
  <dataValidations count="2">
    <dataValidation type="list" allowBlank="1" showInputMessage="1" showErrorMessage="1" sqref="AN8:AN28" xr:uid="{FC24A479-30E9-48B8-ACC7-8D7D150C45C8}">
      <formula1>"Yes, No, Not Applicable "</formula1>
    </dataValidation>
    <dataValidation type="list" allowBlank="1" showInputMessage="1" showErrorMessage="1" sqref="AL8:AL28" xr:uid="{71BF87D8-6DD0-4F24-AFA7-95FD6B9C1C7C}">
      <formula1>"Yes, No, Not Applicable"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9260CC8-D10C-4D4A-BAD5-83D1BEB61B8D}">
          <x14:formula1>
            <xm:f>'PhaseII-WetLabReference'!$A$2:$A$9</xm:f>
          </x14:formula1>
          <xm:sqref>N1:N1048576</xm:sqref>
        </x14:dataValidation>
        <x14:dataValidation type="list" allowBlank="1" showInputMessage="1" showErrorMessage="1" xr:uid="{DA423ED0-8284-436C-87C3-E7934CB32FAB}">
          <x14:formula1>
            <xm:f>'PhaseII-WetLabReference'!$B$2:$B$14</xm:f>
          </x14:formula1>
          <xm:sqref>AD1:AD1048576</xm:sqref>
        </x14:dataValidation>
        <x14:dataValidation type="list" allowBlank="1" showInputMessage="1" showErrorMessage="1" xr:uid="{8FA47D93-C511-40AC-B5CD-EDE00D75D188}">
          <x14:formula1>
            <xm:f>'PhaseII-WetLabReference'!$C$2:$C$7</xm:f>
          </x14:formula1>
          <xm:sqref>AA1:AA1048576 Y1:Y1048576 W1:W1048576 Q1:Q1048576 S1:S1048576 U1:U1048576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55B04-B025-49CB-B52E-ABC0A6E77B6B}">
  <sheetPr codeName="Sheet4"/>
  <dimension ref="A1:C14"/>
  <sheetViews>
    <sheetView workbookViewId="0">
      <selection activeCell="C35" sqref="C35"/>
    </sheetView>
  </sheetViews>
  <sheetFormatPr baseColWidth="10" defaultColWidth="8.83203125" defaultRowHeight="14" x14ac:dyDescent="0.15"/>
  <cols>
    <col min="1" max="1" width="37.83203125" style="67" customWidth="1"/>
    <col min="2" max="2" width="25.5" style="67" customWidth="1"/>
    <col min="3" max="3" width="32.83203125" style="67" customWidth="1"/>
    <col min="4" max="16384" width="8.83203125" style="67"/>
  </cols>
  <sheetData>
    <row r="1" spans="1:3" ht="30" x14ac:dyDescent="0.15">
      <c r="A1" s="67" t="s">
        <v>280</v>
      </c>
      <c r="B1" s="69" t="s">
        <v>220</v>
      </c>
      <c r="C1" s="67" t="s">
        <v>279</v>
      </c>
    </row>
    <row r="2" spans="1:3" ht="15" x14ac:dyDescent="0.15">
      <c r="A2" s="69" t="s">
        <v>278</v>
      </c>
      <c r="B2" s="67" t="s">
        <v>277</v>
      </c>
      <c r="C2" s="67" t="s">
        <v>276</v>
      </c>
    </row>
    <row r="3" spans="1:3" x14ac:dyDescent="0.15">
      <c r="A3" s="67" t="s">
        <v>275</v>
      </c>
      <c r="B3" s="67" t="s">
        <v>274</v>
      </c>
      <c r="C3" s="67" t="s">
        <v>273</v>
      </c>
    </row>
    <row r="4" spans="1:3" x14ac:dyDescent="0.15">
      <c r="A4" s="67" t="s">
        <v>272</v>
      </c>
      <c r="B4" s="67" t="s">
        <v>271</v>
      </c>
      <c r="C4" s="67" t="s">
        <v>270</v>
      </c>
    </row>
    <row r="5" spans="1:3" x14ac:dyDescent="0.15">
      <c r="A5" s="67" t="s">
        <v>269</v>
      </c>
      <c r="B5" s="67" t="s">
        <v>268</v>
      </c>
      <c r="C5" s="67" t="s">
        <v>267</v>
      </c>
    </row>
    <row r="6" spans="1:3" x14ac:dyDescent="0.15">
      <c r="A6" s="67" t="s">
        <v>266</v>
      </c>
      <c r="B6" s="67" t="s">
        <v>265</v>
      </c>
      <c r="C6" s="67" t="s">
        <v>264</v>
      </c>
    </row>
    <row r="7" spans="1:3" x14ac:dyDescent="0.15">
      <c r="A7" s="67" t="s">
        <v>263</v>
      </c>
      <c r="B7" s="67" t="s">
        <v>262</v>
      </c>
      <c r="C7" s="67" t="s">
        <v>261</v>
      </c>
    </row>
    <row r="8" spans="1:3" x14ac:dyDescent="0.15">
      <c r="A8" s="67" t="s">
        <v>260</v>
      </c>
      <c r="B8" s="67" t="s">
        <v>259</v>
      </c>
    </row>
    <row r="9" spans="1:3" x14ac:dyDescent="0.15">
      <c r="A9" s="67" t="s">
        <v>258</v>
      </c>
      <c r="B9" s="67" t="s">
        <v>257</v>
      </c>
    </row>
    <row r="10" spans="1:3" x14ac:dyDescent="0.15">
      <c r="B10" s="67" t="s">
        <v>256</v>
      </c>
    </row>
    <row r="11" spans="1:3" x14ac:dyDescent="0.15">
      <c r="B11" s="67" t="s">
        <v>255</v>
      </c>
    </row>
    <row r="12" spans="1:3" x14ac:dyDescent="0.15">
      <c r="B12" s="67" t="s">
        <v>254</v>
      </c>
    </row>
    <row r="13" spans="1:3" x14ac:dyDescent="0.15">
      <c r="B13" s="67" t="s">
        <v>253</v>
      </c>
    </row>
    <row r="14" spans="1:3" x14ac:dyDescent="0.15">
      <c r="B14" s="67" t="s">
        <v>252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B519B-EE4A-419C-A7B7-479395EDA60D}">
  <sheetPr codeName="Sheet2">
    <outlinePr summaryBelow="0" summaryRight="0"/>
  </sheetPr>
  <dimension ref="A1:V141"/>
  <sheetViews>
    <sheetView tabSelected="1" topLeftCell="A22" zoomScale="89" zoomScaleNormal="89" workbookViewId="0">
      <selection activeCell="B21" sqref="B21"/>
    </sheetView>
  </sheetViews>
  <sheetFormatPr baseColWidth="10" defaultColWidth="12.5" defaultRowHeight="15.75" customHeight="1" x14ac:dyDescent="0.15"/>
  <cols>
    <col min="1" max="1" width="2.83203125" customWidth="1"/>
    <col min="2" max="3" width="54.6640625" customWidth="1"/>
    <col min="4" max="4" width="20.5" customWidth="1"/>
    <col min="5" max="5" width="33.33203125" customWidth="1"/>
    <col min="6" max="7" width="13" customWidth="1"/>
    <col min="8" max="8" width="7.33203125" customWidth="1"/>
    <col min="9" max="9" width="16.33203125" customWidth="1"/>
    <col min="10" max="10" width="14.1640625" customWidth="1"/>
    <col min="11" max="11" width="18" customWidth="1"/>
    <col min="12" max="12" width="49.33203125" customWidth="1"/>
    <col min="13" max="13" width="45.5" customWidth="1"/>
    <col min="14" max="14" width="20.5" customWidth="1"/>
    <col min="15" max="15" width="34.5" customWidth="1"/>
  </cols>
  <sheetData>
    <row r="1" spans="1:22" ht="14" customHeight="1" thickBot="1" x14ac:dyDescent="0.2">
      <c r="A1" s="1"/>
      <c r="B1" s="105" t="s">
        <v>291</v>
      </c>
      <c r="C1" s="106"/>
      <c r="D1" s="106"/>
      <c r="E1" s="106"/>
      <c r="F1" s="106"/>
      <c r="G1" s="106"/>
      <c r="H1" s="106"/>
      <c r="I1" s="106"/>
      <c r="J1" s="106"/>
    </row>
    <row r="2" spans="1:22" ht="14" thickTop="1" x14ac:dyDescent="0.15">
      <c r="A2" s="1"/>
      <c r="B2" s="2" t="s">
        <v>1</v>
      </c>
      <c r="C2" s="2" t="s">
        <v>2</v>
      </c>
      <c r="D2" s="107" t="s">
        <v>3</v>
      </c>
      <c r="E2" s="108"/>
      <c r="F2" s="3"/>
      <c r="G2" s="3"/>
      <c r="H2" s="3"/>
      <c r="I2" s="3"/>
      <c r="J2" s="3"/>
      <c r="K2" s="3"/>
      <c r="L2" s="3"/>
      <c r="M2" s="3"/>
      <c r="N2" s="3"/>
      <c r="O2" s="4"/>
    </row>
    <row r="3" spans="1:22" ht="24.75" customHeight="1" thickBot="1" x14ac:dyDescent="0.2">
      <c r="A3" s="1"/>
      <c r="B3" s="5"/>
      <c r="C3" s="5"/>
      <c r="D3" s="109"/>
      <c r="E3" s="110"/>
      <c r="F3" s="6"/>
      <c r="G3" s="6"/>
      <c r="H3" s="6"/>
      <c r="I3" s="6"/>
      <c r="J3" s="6"/>
      <c r="K3" s="6"/>
      <c r="L3" s="6"/>
      <c r="M3" s="6"/>
      <c r="N3" s="6"/>
      <c r="O3" s="7"/>
    </row>
    <row r="4" spans="1:22" ht="14" thickTop="1" x14ac:dyDescent="0.15">
      <c r="A4" s="8"/>
      <c r="B4" s="9" t="s">
        <v>4</v>
      </c>
      <c r="C4" s="10" t="s">
        <v>5</v>
      </c>
      <c r="D4" s="11"/>
      <c r="E4" s="12"/>
      <c r="F4" s="12"/>
      <c r="G4" s="12"/>
      <c r="H4" s="12"/>
      <c r="I4" s="12"/>
      <c r="J4" s="12"/>
      <c r="K4" s="6"/>
      <c r="L4" s="6"/>
      <c r="M4" s="6"/>
      <c r="N4" s="6"/>
      <c r="O4" s="7"/>
    </row>
    <row r="5" spans="1:22" ht="24.75" customHeight="1" thickBot="1" x14ac:dyDescent="0.2">
      <c r="A5" s="1"/>
      <c r="B5" s="13" t="s">
        <v>6</v>
      </c>
      <c r="C5" s="13" t="s">
        <v>7</v>
      </c>
      <c r="D5" s="12"/>
      <c r="E5" s="12"/>
      <c r="F5" s="12"/>
      <c r="G5" s="12"/>
      <c r="H5" s="12"/>
      <c r="I5" s="12"/>
      <c r="J5" s="12"/>
      <c r="K5" s="6"/>
      <c r="L5" s="6"/>
      <c r="M5" s="6"/>
      <c r="N5" s="6"/>
      <c r="O5" s="7"/>
    </row>
    <row r="6" spans="1:22" ht="13" x14ac:dyDescent="0.15">
      <c r="A6" s="1"/>
      <c r="B6" s="49" t="s">
        <v>8</v>
      </c>
      <c r="C6" s="102" t="s">
        <v>9</v>
      </c>
      <c r="D6" s="104" t="s">
        <v>8</v>
      </c>
      <c r="E6" s="103" t="s">
        <v>148</v>
      </c>
      <c r="F6" s="50" t="s">
        <v>146</v>
      </c>
      <c r="G6" s="50" t="s">
        <v>147</v>
      </c>
      <c r="H6" s="50" t="s">
        <v>13</v>
      </c>
      <c r="I6" s="50" t="s">
        <v>14</v>
      </c>
      <c r="J6" s="50" t="s">
        <v>14</v>
      </c>
      <c r="K6" s="50" t="s">
        <v>15</v>
      </c>
      <c r="L6" s="50" t="s">
        <v>16</v>
      </c>
      <c r="M6" s="50" t="s">
        <v>17</v>
      </c>
      <c r="N6" s="50" t="s">
        <v>18</v>
      </c>
      <c r="O6" s="51" t="s">
        <v>19</v>
      </c>
    </row>
    <row r="7" spans="1:22" ht="13.5" customHeight="1" x14ac:dyDescent="0.15">
      <c r="B7" s="52" t="str">
        <f>D7 &amp; "_" &amp; B$5</f>
        <v>SC2_composite_submittername</v>
      </c>
      <c r="C7" s="32" t="str">
        <f>D7 &amp; "_" &amp; B$5 &amp; "." &amp; C$5</f>
        <v>SC2_composite_submittername.fa</v>
      </c>
      <c r="D7" s="33" t="s">
        <v>130</v>
      </c>
      <c r="E7" s="34" t="s">
        <v>115</v>
      </c>
      <c r="F7" s="35" t="s">
        <v>158</v>
      </c>
      <c r="G7" s="35"/>
      <c r="H7" s="35"/>
      <c r="I7" s="36"/>
      <c r="J7" s="36"/>
      <c r="K7" s="35"/>
      <c r="L7" s="35"/>
      <c r="M7" s="35"/>
      <c r="N7" s="35"/>
      <c r="O7" s="53"/>
      <c r="P7" s="14"/>
      <c r="Q7" s="16"/>
      <c r="R7" s="14"/>
      <c r="S7" s="14"/>
      <c r="T7" s="14"/>
      <c r="U7" s="14"/>
      <c r="V7" s="14"/>
    </row>
    <row r="8" spans="1:22" ht="13.5" customHeight="1" x14ac:dyDescent="0.15">
      <c r="B8" s="52" t="str">
        <f t="shared" ref="B8:B9" si="0">D8 &amp; "_" &amp; B$5</f>
        <v>RSVA_1540_submittername</v>
      </c>
      <c r="C8" s="32" t="str">
        <f t="shared" ref="C8:C9" si="1">D8 &amp; "_" &amp; B$5 &amp; "." &amp; C$5</f>
        <v>RSVA_1540_submittername.fa</v>
      </c>
      <c r="D8" s="37" t="s">
        <v>131</v>
      </c>
      <c r="E8" s="38" t="s">
        <v>101</v>
      </c>
      <c r="F8" s="39" t="s">
        <v>156</v>
      </c>
      <c r="G8" s="39"/>
      <c r="H8" s="39"/>
      <c r="I8" s="40"/>
      <c r="J8" s="40"/>
      <c r="K8" s="39"/>
      <c r="L8" s="39"/>
      <c r="M8" s="39"/>
      <c r="N8" s="39"/>
      <c r="O8" s="54"/>
      <c r="P8" s="14"/>
      <c r="Q8" s="16"/>
      <c r="R8" s="14"/>
      <c r="S8" s="14"/>
      <c r="T8" s="14"/>
      <c r="U8" s="14"/>
      <c r="V8" s="14"/>
    </row>
    <row r="9" spans="1:22" ht="13.5" customHeight="1" x14ac:dyDescent="0.15">
      <c r="B9" s="52" t="str">
        <f t="shared" si="0"/>
        <v>RSVB_3381_submittername</v>
      </c>
      <c r="C9" s="32" t="str">
        <f t="shared" si="1"/>
        <v>RSVB_3381_submittername.fa</v>
      </c>
      <c r="D9" s="37" t="s">
        <v>132</v>
      </c>
      <c r="E9" s="38" t="s">
        <v>104</v>
      </c>
      <c r="F9" s="39" t="s">
        <v>157</v>
      </c>
      <c r="G9" s="39"/>
      <c r="H9" s="39"/>
      <c r="I9" s="40"/>
      <c r="J9" s="40"/>
      <c r="K9" s="39"/>
      <c r="L9" s="39"/>
      <c r="M9" s="39"/>
      <c r="N9" s="39"/>
      <c r="O9" s="54"/>
      <c r="P9" s="14"/>
      <c r="Q9" s="16"/>
      <c r="R9" s="14"/>
      <c r="S9" s="14"/>
      <c r="T9" s="14"/>
      <c r="U9" s="14"/>
      <c r="V9" s="14"/>
    </row>
    <row r="10" spans="1:22" ht="13.5" customHeight="1" x14ac:dyDescent="0.15">
      <c r="B10" s="55" t="str">
        <f>D10 &amp; "_" &amp; F10 &amp; "_" &amp; B$5</f>
        <v>H1N1_1469_flua1_submittername</v>
      </c>
      <c r="C10" s="41" t="str">
        <f>D10 &amp; "_" &amp; F10 &amp; "_" &amp; B$5 &amp; "." &amp; C$5</f>
        <v>H1N1_1469_flua1_submittername.fa</v>
      </c>
      <c r="D10" s="42" t="s">
        <v>133</v>
      </c>
      <c r="E10" s="43" t="s">
        <v>51</v>
      </c>
      <c r="F10" s="43" t="s">
        <v>145</v>
      </c>
      <c r="G10" s="43"/>
      <c r="H10" s="43"/>
      <c r="I10" s="44"/>
      <c r="J10" s="44"/>
      <c r="K10" s="43"/>
      <c r="L10" s="43"/>
      <c r="M10" s="43"/>
      <c r="N10" s="43"/>
      <c r="O10" s="56"/>
      <c r="P10" s="14"/>
      <c r="Q10" s="16"/>
      <c r="R10" s="14"/>
      <c r="S10" s="14"/>
      <c r="T10" s="14"/>
      <c r="U10" s="14"/>
      <c r="V10" s="14"/>
    </row>
    <row r="11" spans="1:22" ht="13.5" customHeight="1" x14ac:dyDescent="0.15">
      <c r="B11" s="57" t="str">
        <f t="shared" ref="B11:B74" si="2">D11 &amp; "_" &amp; F11 &amp; "_" &amp; B$5</f>
        <v>H1N1_1469_flua2_submittername</v>
      </c>
      <c r="C11" s="1" t="str">
        <f t="shared" ref="C11:C74" si="3">D11 &amp; "_" &amp; F11 &amp; "_" &amp; B$5 &amp; "." &amp; C$5</f>
        <v>H1N1_1469_flua2_submittername.fa</v>
      </c>
      <c r="D11" s="95" t="s">
        <v>133</v>
      </c>
      <c r="E11" s="14" t="s">
        <v>54</v>
      </c>
      <c r="F11" s="14" t="s">
        <v>149</v>
      </c>
      <c r="G11" s="14"/>
      <c r="H11" s="15"/>
      <c r="I11" s="15"/>
      <c r="J11" s="15"/>
      <c r="O11" s="58"/>
    </row>
    <row r="12" spans="1:22" ht="13.5" customHeight="1" x14ac:dyDescent="0.15">
      <c r="B12" s="57" t="str">
        <f t="shared" si="2"/>
        <v>H1N1_1469_flua3_submittername</v>
      </c>
      <c r="C12" s="1" t="str">
        <f t="shared" si="3"/>
        <v>H1N1_1469_flua3_submittername.fa</v>
      </c>
      <c r="D12" s="95" t="s">
        <v>133</v>
      </c>
      <c r="E12" s="14" t="s">
        <v>56</v>
      </c>
      <c r="F12" s="14" t="s">
        <v>150</v>
      </c>
      <c r="G12" s="14"/>
      <c r="H12" s="15"/>
      <c r="I12" s="15"/>
      <c r="J12" s="15"/>
      <c r="O12" s="58"/>
    </row>
    <row r="13" spans="1:22" ht="13.5" customHeight="1" x14ac:dyDescent="0.15">
      <c r="B13" s="57" t="str">
        <f t="shared" si="2"/>
        <v>H1N1_1469_flua4_submittername</v>
      </c>
      <c r="C13" s="1" t="str">
        <f t="shared" si="3"/>
        <v>H1N1_1469_flua4_submittername.fa</v>
      </c>
      <c r="D13" s="95" t="s">
        <v>133</v>
      </c>
      <c r="E13" s="14" t="s">
        <v>58</v>
      </c>
      <c r="F13" s="14" t="s">
        <v>151</v>
      </c>
      <c r="G13" s="14"/>
      <c r="H13" s="15"/>
      <c r="I13" s="15"/>
      <c r="J13" s="15"/>
      <c r="O13" s="58"/>
    </row>
    <row r="14" spans="1:22" ht="13.5" customHeight="1" x14ac:dyDescent="0.15">
      <c r="B14" s="57" t="str">
        <f t="shared" si="2"/>
        <v>H1N1_1469_flua5_submittername</v>
      </c>
      <c r="C14" s="1" t="str">
        <f t="shared" si="3"/>
        <v>H1N1_1469_flua5_submittername.fa</v>
      </c>
      <c r="D14" s="95" t="s">
        <v>133</v>
      </c>
      <c r="E14" s="14" t="s">
        <v>60</v>
      </c>
      <c r="F14" s="14" t="s">
        <v>152</v>
      </c>
      <c r="G14" s="14"/>
      <c r="H14" s="15"/>
      <c r="I14" s="15"/>
      <c r="J14" s="15"/>
      <c r="O14" s="58"/>
    </row>
    <row r="15" spans="1:22" ht="13.5" customHeight="1" x14ac:dyDescent="0.15">
      <c r="B15" s="57" t="str">
        <f t="shared" si="2"/>
        <v>H1N1_1469_flua6_submittername</v>
      </c>
      <c r="C15" s="1" t="str">
        <f t="shared" si="3"/>
        <v>H1N1_1469_flua6_submittername.fa</v>
      </c>
      <c r="D15" s="95" t="s">
        <v>133</v>
      </c>
      <c r="E15" s="14" t="s">
        <v>62</v>
      </c>
      <c r="F15" s="14" t="s">
        <v>153</v>
      </c>
      <c r="G15" s="14"/>
      <c r="H15" s="15"/>
      <c r="I15" s="15"/>
      <c r="J15" s="15"/>
      <c r="O15" s="58"/>
    </row>
    <row r="16" spans="1:22" ht="13.5" customHeight="1" x14ac:dyDescent="0.15">
      <c r="B16" s="57" t="str">
        <f t="shared" si="2"/>
        <v>H1N1_1469_flua7_submittername</v>
      </c>
      <c r="C16" s="1" t="str">
        <f t="shared" si="3"/>
        <v>H1N1_1469_flua7_submittername.fa</v>
      </c>
      <c r="D16" s="95" t="s">
        <v>133</v>
      </c>
      <c r="E16" s="14" t="s">
        <v>64</v>
      </c>
      <c r="F16" s="14" t="s">
        <v>154</v>
      </c>
      <c r="G16" s="14"/>
      <c r="H16" s="15"/>
      <c r="I16" s="15"/>
      <c r="J16" s="15"/>
      <c r="O16" s="58"/>
    </row>
    <row r="17" spans="2:22" ht="13.5" customHeight="1" x14ac:dyDescent="0.15">
      <c r="B17" s="52" t="str">
        <f t="shared" si="2"/>
        <v>H1N1_1469_flua8_submittername</v>
      </c>
      <c r="C17" s="32" t="str">
        <f t="shared" si="3"/>
        <v>H1N1_1469_flua8_submittername.fa</v>
      </c>
      <c r="D17" s="33" t="s">
        <v>133</v>
      </c>
      <c r="E17" s="35" t="s">
        <v>66</v>
      </c>
      <c r="F17" s="35" t="s">
        <v>155</v>
      </c>
      <c r="G17" s="35"/>
      <c r="H17" s="36"/>
      <c r="I17" s="36"/>
      <c r="J17" s="36"/>
      <c r="K17" s="45"/>
      <c r="L17" s="45"/>
      <c r="M17" s="45"/>
      <c r="N17" s="45"/>
      <c r="O17" s="59"/>
    </row>
    <row r="18" spans="2:22" ht="13.5" customHeight="1" x14ac:dyDescent="0.15">
      <c r="B18" s="55" t="str">
        <f t="shared" si="2"/>
        <v>H3N2_777_flua1_submittername</v>
      </c>
      <c r="C18" s="41" t="str">
        <f t="shared" si="3"/>
        <v>H3N2_777_flua1_submittername.fa</v>
      </c>
      <c r="D18" s="42" t="s">
        <v>134</v>
      </c>
      <c r="E18" s="43" t="s">
        <v>51</v>
      </c>
      <c r="F18" s="43" t="s">
        <v>145</v>
      </c>
      <c r="G18" s="43"/>
      <c r="H18" s="43"/>
      <c r="I18" s="44"/>
      <c r="J18" s="44"/>
      <c r="K18" s="43"/>
      <c r="L18" s="43"/>
      <c r="M18" s="43"/>
      <c r="N18" s="43"/>
      <c r="O18" s="56"/>
      <c r="P18" s="14"/>
      <c r="Q18" s="16"/>
      <c r="R18" s="14"/>
      <c r="S18" s="14"/>
      <c r="T18" s="14"/>
      <c r="U18" s="14"/>
      <c r="V18" s="14"/>
    </row>
    <row r="19" spans="2:22" ht="13.5" customHeight="1" x14ac:dyDescent="0.15">
      <c r="B19" s="57" t="str">
        <f t="shared" si="2"/>
        <v>H3N2_777_flua2_submittername</v>
      </c>
      <c r="C19" s="1" t="str">
        <f t="shared" si="3"/>
        <v>H3N2_777_flua2_submittername.fa</v>
      </c>
      <c r="D19" s="95" t="s">
        <v>134</v>
      </c>
      <c r="E19" s="14" t="s">
        <v>54</v>
      </c>
      <c r="F19" s="14" t="s">
        <v>149</v>
      </c>
      <c r="G19" s="14"/>
      <c r="H19" s="15"/>
      <c r="I19" s="15"/>
      <c r="J19" s="15"/>
      <c r="O19" s="58"/>
    </row>
    <row r="20" spans="2:22" ht="13.5" customHeight="1" x14ac:dyDescent="0.15">
      <c r="B20" s="57" t="str">
        <f t="shared" si="2"/>
        <v>H3N2_777_flua3_submittername</v>
      </c>
      <c r="C20" s="1" t="str">
        <f t="shared" si="3"/>
        <v>H3N2_777_flua3_submittername.fa</v>
      </c>
      <c r="D20" s="95" t="s">
        <v>134</v>
      </c>
      <c r="E20" s="14" t="s">
        <v>56</v>
      </c>
      <c r="F20" s="14" t="s">
        <v>150</v>
      </c>
      <c r="G20" s="14"/>
      <c r="H20" s="15"/>
      <c r="I20" s="15"/>
      <c r="J20" s="15"/>
      <c r="O20" s="58"/>
    </row>
    <row r="21" spans="2:22" ht="13.5" customHeight="1" x14ac:dyDescent="0.15">
      <c r="B21" s="57" t="str">
        <f t="shared" si="2"/>
        <v>H3N2_777_flua4_submittername</v>
      </c>
      <c r="C21" s="1" t="str">
        <f t="shared" si="3"/>
        <v>H3N2_777_flua4_submittername.fa</v>
      </c>
      <c r="D21" s="95" t="s">
        <v>134</v>
      </c>
      <c r="E21" s="14" t="s">
        <v>58</v>
      </c>
      <c r="F21" s="14" t="s">
        <v>151</v>
      </c>
      <c r="G21" s="14"/>
      <c r="H21" s="15"/>
      <c r="I21" s="15"/>
      <c r="J21" s="15"/>
      <c r="O21" s="58"/>
    </row>
    <row r="22" spans="2:22" ht="13.5" customHeight="1" x14ac:dyDescent="0.15">
      <c r="B22" s="57" t="str">
        <f t="shared" si="2"/>
        <v>H3N2_777_flua5_submittername</v>
      </c>
      <c r="C22" s="1" t="str">
        <f t="shared" si="3"/>
        <v>H3N2_777_flua5_submittername.fa</v>
      </c>
      <c r="D22" s="95" t="s">
        <v>134</v>
      </c>
      <c r="E22" s="14" t="s">
        <v>60</v>
      </c>
      <c r="F22" s="14" t="s">
        <v>152</v>
      </c>
      <c r="G22" s="14"/>
      <c r="H22" s="15"/>
      <c r="I22" s="15"/>
      <c r="J22" s="15"/>
      <c r="O22" s="58"/>
    </row>
    <row r="23" spans="2:22" ht="13.5" customHeight="1" x14ac:dyDescent="0.15">
      <c r="B23" s="57" t="str">
        <f t="shared" si="2"/>
        <v>H3N2_777_flua6_submittername</v>
      </c>
      <c r="C23" s="1" t="str">
        <f t="shared" si="3"/>
        <v>H3N2_777_flua6_submittername.fa</v>
      </c>
      <c r="D23" s="95" t="s">
        <v>134</v>
      </c>
      <c r="E23" s="14" t="s">
        <v>62</v>
      </c>
      <c r="F23" s="14" t="s">
        <v>153</v>
      </c>
      <c r="G23" s="14"/>
      <c r="H23" s="15"/>
      <c r="I23" s="15"/>
      <c r="J23" s="15"/>
      <c r="O23" s="58"/>
    </row>
    <row r="24" spans="2:22" ht="13.5" customHeight="1" x14ac:dyDescent="0.15">
      <c r="B24" s="57" t="str">
        <f t="shared" si="2"/>
        <v>H3N2_777_flua7_submittername</v>
      </c>
      <c r="C24" s="1" t="str">
        <f t="shared" si="3"/>
        <v>H3N2_777_flua7_submittername.fa</v>
      </c>
      <c r="D24" s="95" t="s">
        <v>134</v>
      </c>
      <c r="E24" s="14" t="s">
        <v>64</v>
      </c>
      <c r="F24" s="14" t="s">
        <v>154</v>
      </c>
      <c r="G24" s="14"/>
      <c r="H24" s="15"/>
      <c r="I24" s="15"/>
      <c r="J24" s="15"/>
      <c r="O24" s="58"/>
    </row>
    <row r="25" spans="2:22" ht="13.5" customHeight="1" x14ac:dyDescent="0.15">
      <c r="B25" s="52" t="str">
        <f t="shared" si="2"/>
        <v>H3N2_777_flua8_submittername</v>
      </c>
      <c r="C25" s="32" t="str">
        <f t="shared" si="3"/>
        <v>H3N2_777_flua8_submittername.fa</v>
      </c>
      <c r="D25" s="33" t="s">
        <v>134</v>
      </c>
      <c r="E25" s="35" t="s">
        <v>66</v>
      </c>
      <c r="F25" s="35" t="s">
        <v>155</v>
      </c>
      <c r="G25" s="35"/>
      <c r="H25" s="36"/>
      <c r="I25" s="36"/>
      <c r="J25" s="36"/>
      <c r="K25" s="45"/>
      <c r="L25" s="45"/>
      <c r="M25" s="45"/>
      <c r="N25" s="45"/>
      <c r="O25" s="59"/>
    </row>
    <row r="26" spans="2:22" ht="13.5" customHeight="1" x14ac:dyDescent="0.15">
      <c r="B26" s="55" t="str">
        <f t="shared" si="2"/>
        <v>INFB_1931_flua1_submittername</v>
      </c>
      <c r="C26" s="41" t="str">
        <f t="shared" si="3"/>
        <v>INFB_1931_flua1_submittername.fa</v>
      </c>
      <c r="D26" s="42" t="s">
        <v>135</v>
      </c>
      <c r="E26" s="43" t="s">
        <v>21</v>
      </c>
      <c r="F26" s="43" t="s">
        <v>145</v>
      </c>
      <c r="G26" s="43"/>
      <c r="H26" s="43"/>
      <c r="I26" s="44"/>
      <c r="J26" s="44"/>
      <c r="K26" s="43"/>
      <c r="L26" s="43"/>
      <c r="M26" s="43"/>
      <c r="N26" s="43"/>
      <c r="O26" s="56"/>
      <c r="P26" s="14"/>
      <c r="Q26" s="16"/>
      <c r="R26" s="14"/>
      <c r="S26" s="14"/>
      <c r="T26" s="14"/>
      <c r="U26" s="14"/>
      <c r="V26" s="14"/>
    </row>
    <row r="27" spans="2:22" ht="13.5" customHeight="1" x14ac:dyDescent="0.15">
      <c r="B27" s="57" t="str">
        <f t="shared" si="2"/>
        <v>INFB_1931_flua2_submittername</v>
      </c>
      <c r="C27" s="1" t="str">
        <f t="shared" si="3"/>
        <v>INFB_1931_flua2_submittername.fa</v>
      </c>
      <c r="D27" s="95" t="s">
        <v>135</v>
      </c>
      <c r="E27" s="14" t="s">
        <v>26</v>
      </c>
      <c r="F27" s="14" t="s">
        <v>149</v>
      </c>
      <c r="G27" s="14"/>
      <c r="H27" s="15"/>
      <c r="I27" s="15"/>
      <c r="J27" s="15"/>
      <c r="O27" s="58"/>
    </row>
    <row r="28" spans="2:22" ht="13.5" customHeight="1" x14ac:dyDescent="0.15">
      <c r="B28" s="57" t="str">
        <f t="shared" si="2"/>
        <v>INFB_1931_flua3_submittername</v>
      </c>
      <c r="C28" s="1" t="str">
        <f t="shared" si="3"/>
        <v>INFB_1931_flua3_submittername.fa</v>
      </c>
      <c r="D28" s="95" t="s">
        <v>135</v>
      </c>
      <c r="E28" s="14" t="s">
        <v>28</v>
      </c>
      <c r="F28" s="14" t="s">
        <v>150</v>
      </c>
      <c r="G28" s="14"/>
      <c r="H28" s="15"/>
      <c r="I28" s="15"/>
      <c r="J28" s="15"/>
      <c r="O28" s="58"/>
    </row>
    <row r="29" spans="2:22" ht="13.5" customHeight="1" x14ac:dyDescent="0.15">
      <c r="B29" s="57" t="str">
        <f t="shared" si="2"/>
        <v>INFB_1931_flua4_submittername</v>
      </c>
      <c r="C29" s="1" t="str">
        <f t="shared" si="3"/>
        <v>INFB_1931_flua4_submittername.fa</v>
      </c>
      <c r="D29" s="95" t="s">
        <v>135</v>
      </c>
      <c r="E29" s="14" t="s">
        <v>30</v>
      </c>
      <c r="F29" s="14" t="s">
        <v>151</v>
      </c>
      <c r="G29" s="14"/>
      <c r="H29" s="15"/>
      <c r="I29" s="15"/>
      <c r="J29" s="15"/>
      <c r="O29" s="58"/>
    </row>
    <row r="30" spans="2:22" ht="13.5" customHeight="1" x14ac:dyDescent="0.15">
      <c r="B30" s="57" t="str">
        <f t="shared" si="2"/>
        <v>INFB_1931_flua5_submittername</v>
      </c>
      <c r="C30" s="1" t="str">
        <f t="shared" si="3"/>
        <v>INFB_1931_flua5_submittername.fa</v>
      </c>
      <c r="D30" s="95" t="s">
        <v>135</v>
      </c>
      <c r="E30" s="14" t="s">
        <v>32</v>
      </c>
      <c r="F30" s="14" t="s">
        <v>152</v>
      </c>
      <c r="G30" s="14"/>
      <c r="H30" s="15"/>
      <c r="I30" s="15"/>
      <c r="J30" s="15"/>
      <c r="O30" s="58"/>
    </row>
    <row r="31" spans="2:22" ht="13.5" customHeight="1" x14ac:dyDescent="0.15">
      <c r="B31" s="57" t="str">
        <f t="shared" si="2"/>
        <v>INFB_1931_flua6_submittername</v>
      </c>
      <c r="C31" s="1" t="str">
        <f t="shared" si="3"/>
        <v>INFB_1931_flua6_submittername.fa</v>
      </c>
      <c r="D31" s="95" t="s">
        <v>135</v>
      </c>
      <c r="E31" s="14" t="s">
        <v>34</v>
      </c>
      <c r="F31" s="14" t="s">
        <v>153</v>
      </c>
      <c r="G31" s="14"/>
      <c r="H31" s="15"/>
      <c r="I31" s="15"/>
      <c r="J31" s="15"/>
      <c r="O31" s="58"/>
    </row>
    <row r="32" spans="2:22" ht="13.5" customHeight="1" x14ac:dyDescent="0.15">
      <c r="B32" s="57" t="str">
        <f t="shared" si="2"/>
        <v>INFB_1931_flua7_submittername</v>
      </c>
      <c r="C32" s="1" t="str">
        <f t="shared" si="3"/>
        <v>INFB_1931_flua7_submittername.fa</v>
      </c>
      <c r="D32" s="95" t="s">
        <v>135</v>
      </c>
      <c r="E32" s="14" t="s">
        <v>36</v>
      </c>
      <c r="F32" s="14" t="s">
        <v>154</v>
      </c>
      <c r="G32" s="14"/>
      <c r="H32" s="15"/>
      <c r="I32" s="15"/>
      <c r="J32" s="15"/>
      <c r="O32" s="58"/>
    </row>
    <row r="33" spans="2:22" ht="13.5" customHeight="1" x14ac:dyDescent="0.15">
      <c r="B33" s="52" t="str">
        <f t="shared" si="2"/>
        <v>INFB_1931_flua8_submittername</v>
      </c>
      <c r="C33" s="32" t="str">
        <f t="shared" si="3"/>
        <v>INFB_1931_flua8_submittername.fa</v>
      </c>
      <c r="D33" s="33" t="s">
        <v>135</v>
      </c>
      <c r="E33" s="35" t="s">
        <v>38</v>
      </c>
      <c r="F33" s="35" t="s">
        <v>155</v>
      </c>
      <c r="G33" s="35"/>
      <c r="H33" s="36"/>
      <c r="I33" s="36"/>
      <c r="J33" s="36"/>
      <c r="K33" s="45"/>
      <c r="L33" s="45"/>
      <c r="M33" s="45"/>
      <c r="N33" s="45"/>
      <c r="O33" s="59"/>
    </row>
    <row r="34" spans="2:22" ht="13.5" customHeight="1" x14ac:dyDescent="0.15">
      <c r="B34" s="55" t="str">
        <f t="shared" si="2"/>
        <v>MIX1-A_1469-777_4-1_flua1_submittername</v>
      </c>
      <c r="C34" s="41" t="str">
        <f t="shared" si="3"/>
        <v>MIX1-A_1469-777_4-1_flua1_submittername.fa</v>
      </c>
      <c r="D34" s="42" t="s">
        <v>136</v>
      </c>
      <c r="E34" s="43" t="s">
        <v>51</v>
      </c>
      <c r="F34" s="43" t="s">
        <v>145</v>
      </c>
      <c r="G34" s="43"/>
      <c r="H34" s="43"/>
      <c r="I34" s="44"/>
      <c r="J34" s="44"/>
      <c r="K34" s="43"/>
      <c r="L34" s="43"/>
      <c r="M34" s="43"/>
      <c r="N34" s="43"/>
      <c r="O34" s="56"/>
      <c r="P34" s="14"/>
      <c r="Q34" s="16"/>
      <c r="R34" s="14"/>
      <c r="S34" s="14"/>
      <c r="T34" s="14"/>
      <c r="U34" s="14"/>
      <c r="V34" s="14"/>
    </row>
    <row r="35" spans="2:22" ht="13.5" customHeight="1" x14ac:dyDescent="0.15">
      <c r="B35" s="57" t="str">
        <f t="shared" si="2"/>
        <v>MIX1-A_1469-777_4-1_flua2_submittername</v>
      </c>
      <c r="C35" s="1" t="str">
        <f t="shared" si="3"/>
        <v>MIX1-A_1469-777_4-1_flua2_submittername.fa</v>
      </c>
      <c r="D35" s="95" t="s">
        <v>136</v>
      </c>
      <c r="E35" s="14" t="s">
        <v>54</v>
      </c>
      <c r="F35" s="14" t="s">
        <v>149</v>
      </c>
      <c r="G35" s="14"/>
      <c r="H35" s="15"/>
      <c r="I35" s="15"/>
      <c r="J35" s="15"/>
      <c r="O35" s="58"/>
    </row>
    <row r="36" spans="2:22" ht="13.5" customHeight="1" x14ac:dyDescent="0.15">
      <c r="B36" s="57" t="str">
        <f t="shared" si="2"/>
        <v>MIX1-A_1469-777_4-1_flua3_submittername</v>
      </c>
      <c r="C36" s="1" t="str">
        <f t="shared" si="3"/>
        <v>MIX1-A_1469-777_4-1_flua3_submittername.fa</v>
      </c>
      <c r="D36" s="95" t="s">
        <v>136</v>
      </c>
      <c r="E36" s="14" t="s">
        <v>56</v>
      </c>
      <c r="F36" s="14" t="s">
        <v>150</v>
      </c>
      <c r="G36" s="14"/>
      <c r="H36" s="15"/>
      <c r="I36" s="15"/>
      <c r="J36" s="15"/>
      <c r="O36" s="58"/>
    </row>
    <row r="37" spans="2:22" ht="13.5" customHeight="1" x14ac:dyDescent="0.15">
      <c r="B37" s="57" t="str">
        <f t="shared" si="2"/>
        <v>MIX1-A_1469-777_4-1_flua4_submittername</v>
      </c>
      <c r="C37" s="1" t="str">
        <f t="shared" si="3"/>
        <v>MIX1-A_1469-777_4-1_flua4_submittername.fa</v>
      </c>
      <c r="D37" s="95" t="s">
        <v>136</v>
      </c>
      <c r="E37" s="14" t="s">
        <v>58</v>
      </c>
      <c r="F37" s="14" t="s">
        <v>151</v>
      </c>
      <c r="G37" s="14"/>
      <c r="H37" s="15"/>
      <c r="I37" s="15"/>
      <c r="J37" s="15"/>
      <c r="O37" s="58"/>
    </row>
    <row r="38" spans="2:22" ht="13.5" customHeight="1" x14ac:dyDescent="0.15">
      <c r="B38" s="57" t="str">
        <f t="shared" si="2"/>
        <v>MIX1-A_1469-777_4-1_flua5_submittername</v>
      </c>
      <c r="C38" s="1" t="str">
        <f t="shared" si="3"/>
        <v>MIX1-A_1469-777_4-1_flua5_submittername.fa</v>
      </c>
      <c r="D38" s="95" t="s">
        <v>136</v>
      </c>
      <c r="E38" s="14" t="s">
        <v>60</v>
      </c>
      <c r="F38" s="14" t="s">
        <v>152</v>
      </c>
      <c r="G38" s="14"/>
      <c r="H38" s="15"/>
      <c r="I38" s="15"/>
      <c r="J38" s="15"/>
      <c r="O38" s="58"/>
    </row>
    <row r="39" spans="2:22" ht="13.5" customHeight="1" x14ac:dyDescent="0.15">
      <c r="B39" s="57" t="str">
        <f t="shared" si="2"/>
        <v>MIX1-A_1469-777_4-1_flua6_submittername</v>
      </c>
      <c r="C39" s="1" t="str">
        <f t="shared" si="3"/>
        <v>MIX1-A_1469-777_4-1_flua6_submittername.fa</v>
      </c>
      <c r="D39" s="95" t="s">
        <v>136</v>
      </c>
      <c r="E39" s="14" t="s">
        <v>62</v>
      </c>
      <c r="F39" s="14" t="s">
        <v>153</v>
      </c>
      <c r="G39" s="14"/>
      <c r="H39" s="15"/>
      <c r="I39" s="15"/>
      <c r="J39" s="15"/>
      <c r="O39" s="58"/>
    </row>
    <row r="40" spans="2:22" ht="13.5" customHeight="1" x14ac:dyDescent="0.15">
      <c r="B40" s="57" t="str">
        <f t="shared" si="2"/>
        <v>MIX1-A_1469-777_4-1_flua7_submittername</v>
      </c>
      <c r="C40" s="1" t="str">
        <f t="shared" si="3"/>
        <v>MIX1-A_1469-777_4-1_flua7_submittername.fa</v>
      </c>
      <c r="D40" s="95" t="s">
        <v>136</v>
      </c>
      <c r="E40" s="14" t="s">
        <v>64</v>
      </c>
      <c r="F40" s="14" t="s">
        <v>154</v>
      </c>
      <c r="G40" s="14"/>
      <c r="H40" s="15"/>
      <c r="I40" s="15"/>
      <c r="J40" s="15"/>
      <c r="O40" s="58"/>
    </row>
    <row r="41" spans="2:22" ht="13.5" customHeight="1" x14ac:dyDescent="0.15">
      <c r="B41" s="52" t="str">
        <f t="shared" si="2"/>
        <v>MIX1-A_1469-777_4-1_flua8_submittername</v>
      </c>
      <c r="C41" s="32" t="str">
        <f t="shared" si="3"/>
        <v>MIX1-A_1469-777_4-1_flua8_submittername.fa</v>
      </c>
      <c r="D41" s="33" t="s">
        <v>136</v>
      </c>
      <c r="E41" s="35" t="s">
        <v>66</v>
      </c>
      <c r="F41" s="35" t="s">
        <v>155</v>
      </c>
      <c r="G41" s="35"/>
      <c r="H41" s="36"/>
      <c r="I41" s="36"/>
      <c r="J41" s="36"/>
      <c r="K41" s="45"/>
      <c r="L41" s="45"/>
      <c r="M41" s="45"/>
      <c r="N41" s="45"/>
      <c r="O41" s="59"/>
    </row>
    <row r="42" spans="2:22" ht="13.5" customHeight="1" x14ac:dyDescent="0.15">
      <c r="B42" s="57" t="str">
        <f t="shared" si="2"/>
        <v>MIX1-B_1469-777_1-1_flua1_submittername</v>
      </c>
      <c r="C42" s="1" t="str">
        <f t="shared" si="3"/>
        <v>MIX1-B_1469-777_1-1_flua1_submittername.fa</v>
      </c>
      <c r="D42" s="95" t="s">
        <v>137</v>
      </c>
      <c r="E42" s="14" t="s">
        <v>51</v>
      </c>
      <c r="F42" s="43" t="s">
        <v>145</v>
      </c>
      <c r="G42" s="14"/>
      <c r="H42" s="14"/>
      <c r="I42" s="44"/>
      <c r="J42" s="15"/>
      <c r="K42" s="14"/>
      <c r="L42" s="14"/>
      <c r="M42" s="14"/>
      <c r="N42" s="14"/>
      <c r="O42" s="60"/>
      <c r="P42" s="14"/>
      <c r="Q42" s="16"/>
      <c r="R42" s="14"/>
      <c r="S42" s="14"/>
      <c r="T42" s="14"/>
      <c r="U42" s="14"/>
      <c r="V42" s="14"/>
    </row>
    <row r="43" spans="2:22" ht="13.5" customHeight="1" x14ac:dyDescent="0.15">
      <c r="B43" s="57" t="str">
        <f t="shared" si="2"/>
        <v>MIX1-B_1469-777_1-1_flua2_submittername</v>
      </c>
      <c r="C43" s="1" t="str">
        <f t="shared" si="3"/>
        <v>MIX1-B_1469-777_1-1_flua2_submittername.fa</v>
      </c>
      <c r="D43" s="95" t="s">
        <v>137</v>
      </c>
      <c r="E43" s="14" t="s">
        <v>54</v>
      </c>
      <c r="F43" s="14" t="s">
        <v>149</v>
      </c>
      <c r="G43" s="14"/>
      <c r="H43" s="15"/>
      <c r="I43" s="15"/>
      <c r="J43" s="15"/>
      <c r="O43" s="58"/>
    </row>
    <row r="44" spans="2:22" ht="13.5" customHeight="1" x14ac:dyDescent="0.15">
      <c r="B44" s="57" t="str">
        <f t="shared" si="2"/>
        <v>MIX1-B_1469-777_1-1_flua3_submittername</v>
      </c>
      <c r="C44" s="1" t="str">
        <f t="shared" si="3"/>
        <v>MIX1-B_1469-777_1-1_flua3_submittername.fa</v>
      </c>
      <c r="D44" s="95" t="s">
        <v>137</v>
      </c>
      <c r="E44" s="14" t="s">
        <v>56</v>
      </c>
      <c r="F44" s="14" t="s">
        <v>150</v>
      </c>
      <c r="G44" s="14"/>
      <c r="H44" s="15"/>
      <c r="I44" s="15"/>
      <c r="J44" s="15"/>
      <c r="O44" s="58"/>
    </row>
    <row r="45" spans="2:22" ht="13.5" customHeight="1" x14ac:dyDescent="0.15">
      <c r="B45" s="57" t="str">
        <f t="shared" si="2"/>
        <v>MIX1-B_1469-777_1-1_flua4_submittername</v>
      </c>
      <c r="C45" s="1" t="str">
        <f t="shared" si="3"/>
        <v>MIX1-B_1469-777_1-1_flua4_submittername.fa</v>
      </c>
      <c r="D45" s="95" t="s">
        <v>137</v>
      </c>
      <c r="E45" s="14" t="s">
        <v>58</v>
      </c>
      <c r="F45" s="14" t="s">
        <v>151</v>
      </c>
      <c r="G45" s="14"/>
      <c r="H45" s="15"/>
      <c r="I45" s="15"/>
      <c r="J45" s="15"/>
      <c r="O45" s="58"/>
    </row>
    <row r="46" spans="2:22" ht="13.5" customHeight="1" x14ac:dyDescent="0.15">
      <c r="B46" s="57" t="str">
        <f t="shared" si="2"/>
        <v>MIX1-B_1469-777_1-1_flua5_submittername</v>
      </c>
      <c r="C46" s="1" t="str">
        <f t="shared" si="3"/>
        <v>MIX1-B_1469-777_1-1_flua5_submittername.fa</v>
      </c>
      <c r="D46" s="95" t="s">
        <v>137</v>
      </c>
      <c r="E46" s="14" t="s">
        <v>60</v>
      </c>
      <c r="F46" s="14" t="s">
        <v>152</v>
      </c>
      <c r="G46" s="14"/>
      <c r="H46" s="15"/>
      <c r="I46" s="15"/>
      <c r="J46" s="15"/>
      <c r="O46" s="58"/>
    </row>
    <row r="47" spans="2:22" ht="13.5" customHeight="1" x14ac:dyDescent="0.15">
      <c r="B47" s="57" t="str">
        <f t="shared" si="2"/>
        <v>MIX1-B_1469-777_1-1_flua6_submittername</v>
      </c>
      <c r="C47" s="1" t="str">
        <f t="shared" si="3"/>
        <v>MIX1-B_1469-777_1-1_flua6_submittername.fa</v>
      </c>
      <c r="D47" s="95" t="s">
        <v>137</v>
      </c>
      <c r="E47" s="14" t="s">
        <v>62</v>
      </c>
      <c r="F47" s="14" t="s">
        <v>153</v>
      </c>
      <c r="G47" s="14"/>
      <c r="H47" s="15"/>
      <c r="I47" s="15"/>
      <c r="J47" s="15"/>
      <c r="O47" s="58"/>
    </row>
    <row r="48" spans="2:22" ht="13.5" customHeight="1" x14ac:dyDescent="0.15">
      <c r="B48" s="57" t="str">
        <f t="shared" si="2"/>
        <v>MIX1-B_1469-777_1-1_flua7_submittername</v>
      </c>
      <c r="C48" s="1" t="str">
        <f t="shared" si="3"/>
        <v>MIX1-B_1469-777_1-1_flua7_submittername.fa</v>
      </c>
      <c r="D48" s="95" t="s">
        <v>137</v>
      </c>
      <c r="E48" s="14" t="s">
        <v>64</v>
      </c>
      <c r="F48" s="14" t="s">
        <v>154</v>
      </c>
      <c r="G48" s="14"/>
      <c r="H48" s="15"/>
      <c r="I48" s="15"/>
      <c r="J48" s="15"/>
      <c r="O48" s="58"/>
    </row>
    <row r="49" spans="2:16" ht="13.5" customHeight="1" x14ac:dyDescent="0.15">
      <c r="B49" s="52" t="str">
        <f t="shared" si="2"/>
        <v>MIX1-B_1469-777_1-1_flua8_submittername</v>
      </c>
      <c r="C49" s="32" t="str">
        <f t="shared" si="3"/>
        <v>MIX1-B_1469-777_1-1_flua8_submittername.fa</v>
      </c>
      <c r="D49" s="33" t="s">
        <v>137</v>
      </c>
      <c r="E49" s="35" t="s">
        <v>66</v>
      </c>
      <c r="F49" s="35" t="s">
        <v>155</v>
      </c>
      <c r="G49" s="35"/>
      <c r="H49" s="36"/>
      <c r="I49" s="36"/>
      <c r="J49" s="36"/>
      <c r="K49" s="45"/>
      <c r="L49" s="45"/>
      <c r="M49" s="45"/>
      <c r="N49" s="45"/>
      <c r="O49" s="59"/>
    </row>
    <row r="50" spans="2:16" ht="13.5" customHeight="1" x14ac:dyDescent="0.15">
      <c r="B50" s="55" t="str">
        <f t="shared" si="2"/>
        <v>MIX1-C_1469-777_1-4_flua1_submittername</v>
      </c>
      <c r="C50" s="41" t="str">
        <f t="shared" si="3"/>
        <v>MIX1-C_1469-777_1-4_flua1_submittername.fa</v>
      </c>
      <c r="D50" s="42" t="s">
        <v>138</v>
      </c>
      <c r="E50" s="43" t="s">
        <v>51</v>
      </c>
      <c r="F50" s="43" t="s">
        <v>145</v>
      </c>
      <c r="G50" s="43"/>
      <c r="H50" s="44"/>
      <c r="I50" s="44"/>
      <c r="J50" s="44"/>
      <c r="K50" s="44"/>
      <c r="L50" s="44"/>
      <c r="M50" s="44"/>
      <c r="N50" s="44"/>
      <c r="O50" s="61"/>
      <c r="P50" s="15"/>
    </row>
    <row r="51" spans="2:16" ht="13.5" customHeight="1" x14ac:dyDescent="0.15">
      <c r="B51" s="57" t="str">
        <f t="shared" si="2"/>
        <v>MIX1-C_1469-777_1-4_flua2_submittername</v>
      </c>
      <c r="C51" s="1" t="str">
        <f t="shared" si="3"/>
        <v>MIX1-C_1469-777_1-4_flua2_submittername.fa</v>
      </c>
      <c r="D51" s="95" t="s">
        <v>138</v>
      </c>
      <c r="E51" s="14" t="s">
        <v>54</v>
      </c>
      <c r="F51" s="14" t="s">
        <v>149</v>
      </c>
      <c r="G51" s="14"/>
      <c r="H51" s="15"/>
      <c r="I51" s="15"/>
      <c r="J51" s="15"/>
      <c r="O51" s="58"/>
    </row>
    <row r="52" spans="2:16" ht="13.5" customHeight="1" x14ac:dyDescent="0.15">
      <c r="B52" s="57" t="str">
        <f t="shared" si="2"/>
        <v>MIX1-C_1469-777_1-4_flua3_submittername</v>
      </c>
      <c r="C52" s="1" t="str">
        <f t="shared" si="3"/>
        <v>MIX1-C_1469-777_1-4_flua3_submittername.fa</v>
      </c>
      <c r="D52" s="95" t="s">
        <v>138</v>
      </c>
      <c r="E52" s="14" t="s">
        <v>56</v>
      </c>
      <c r="F52" s="14" t="s">
        <v>150</v>
      </c>
      <c r="G52" s="14"/>
      <c r="H52" s="15"/>
      <c r="I52" s="15"/>
      <c r="J52" s="15"/>
      <c r="O52" s="58"/>
    </row>
    <row r="53" spans="2:16" ht="13.5" customHeight="1" x14ac:dyDescent="0.15">
      <c r="B53" s="57" t="str">
        <f t="shared" si="2"/>
        <v>MIX1-C_1469-777_1-4_flua4_submittername</v>
      </c>
      <c r="C53" s="1" t="str">
        <f t="shared" si="3"/>
        <v>MIX1-C_1469-777_1-4_flua4_submittername.fa</v>
      </c>
      <c r="D53" s="95" t="s">
        <v>138</v>
      </c>
      <c r="E53" s="14" t="s">
        <v>58</v>
      </c>
      <c r="F53" s="14" t="s">
        <v>151</v>
      </c>
      <c r="G53" s="14"/>
      <c r="H53" s="15"/>
      <c r="I53" s="15"/>
      <c r="J53" s="15"/>
      <c r="O53" s="58"/>
    </row>
    <row r="54" spans="2:16" ht="13.5" customHeight="1" x14ac:dyDescent="0.15">
      <c r="B54" s="57" t="str">
        <f t="shared" si="2"/>
        <v>MIX1-C_1469-777_1-4_flua5_submittername</v>
      </c>
      <c r="C54" s="1" t="str">
        <f t="shared" si="3"/>
        <v>MIX1-C_1469-777_1-4_flua5_submittername.fa</v>
      </c>
      <c r="D54" s="95" t="s">
        <v>138</v>
      </c>
      <c r="E54" s="14" t="s">
        <v>60</v>
      </c>
      <c r="F54" s="14" t="s">
        <v>152</v>
      </c>
      <c r="G54" s="14"/>
      <c r="H54" s="15"/>
      <c r="I54" s="15"/>
      <c r="J54" s="15"/>
      <c r="O54" s="58"/>
    </row>
    <row r="55" spans="2:16" ht="13.5" customHeight="1" x14ac:dyDescent="0.15">
      <c r="B55" s="57" t="str">
        <f t="shared" si="2"/>
        <v>MIX1-C_1469-777_1-4_flua6_submittername</v>
      </c>
      <c r="C55" s="1" t="str">
        <f t="shared" si="3"/>
        <v>MIX1-C_1469-777_1-4_flua6_submittername.fa</v>
      </c>
      <c r="D55" s="95" t="s">
        <v>138</v>
      </c>
      <c r="E55" s="14" t="s">
        <v>62</v>
      </c>
      <c r="F55" s="14" t="s">
        <v>153</v>
      </c>
      <c r="G55" s="14"/>
      <c r="H55" s="15"/>
      <c r="I55" s="15"/>
      <c r="J55" s="15"/>
      <c r="O55" s="58"/>
    </row>
    <row r="56" spans="2:16" ht="13.5" customHeight="1" x14ac:dyDescent="0.15">
      <c r="B56" s="57" t="str">
        <f t="shared" si="2"/>
        <v>MIX1-C_1469-777_1-4_flua7_submittername</v>
      </c>
      <c r="C56" s="1" t="str">
        <f t="shared" si="3"/>
        <v>MIX1-C_1469-777_1-4_flua7_submittername.fa</v>
      </c>
      <c r="D56" s="95" t="s">
        <v>138</v>
      </c>
      <c r="E56" s="14" t="s">
        <v>64</v>
      </c>
      <c r="F56" s="14" t="s">
        <v>154</v>
      </c>
      <c r="G56" s="14"/>
      <c r="H56" s="15"/>
      <c r="I56" s="15"/>
      <c r="J56" s="15"/>
      <c r="O56" s="58"/>
    </row>
    <row r="57" spans="2:16" ht="13.5" customHeight="1" x14ac:dyDescent="0.15">
      <c r="B57" s="52" t="str">
        <f t="shared" si="2"/>
        <v>MIX1-C_1469-777_1-4_flua8_submittername</v>
      </c>
      <c r="C57" s="32" t="str">
        <f t="shared" si="3"/>
        <v>MIX1-C_1469-777_1-4_flua8_submittername.fa</v>
      </c>
      <c r="D57" s="33" t="s">
        <v>138</v>
      </c>
      <c r="E57" s="35" t="s">
        <v>66</v>
      </c>
      <c r="F57" s="35" t="s">
        <v>155</v>
      </c>
      <c r="G57" s="35"/>
      <c r="H57" s="36"/>
      <c r="I57" s="36"/>
      <c r="J57" s="36"/>
      <c r="K57" s="45"/>
      <c r="L57" s="45"/>
      <c r="M57" s="45"/>
      <c r="N57" s="45"/>
      <c r="O57" s="59"/>
    </row>
    <row r="58" spans="2:16" ht="13.5" customHeight="1" x14ac:dyDescent="0.15">
      <c r="B58" s="55" t="str">
        <f t="shared" si="2"/>
        <v>MIX2-A_1540-3381_4-1_rsva_submittername</v>
      </c>
      <c r="C58" s="41" t="str">
        <f t="shared" si="3"/>
        <v>MIX2-A_1540-3381_4-1_rsva_submittername.fa</v>
      </c>
      <c r="D58" s="42" t="s">
        <v>139</v>
      </c>
      <c r="E58" s="46" t="s">
        <v>101</v>
      </c>
      <c r="F58" s="46" t="s">
        <v>156</v>
      </c>
      <c r="G58" s="43"/>
      <c r="H58" s="44"/>
      <c r="I58" s="44"/>
      <c r="J58" s="44"/>
      <c r="K58" s="47"/>
      <c r="L58" s="47"/>
      <c r="M58" s="47"/>
      <c r="N58" s="47"/>
      <c r="O58" s="62"/>
    </row>
    <row r="59" spans="2:16" ht="13.5" customHeight="1" x14ac:dyDescent="0.15">
      <c r="B59" s="57" t="str">
        <f t="shared" si="2"/>
        <v>MIX2-A_1540-3381_4-1_rsvb_submittername</v>
      </c>
      <c r="C59" s="1" t="str">
        <f t="shared" si="3"/>
        <v>MIX2-A_1540-3381_4-1_rsvb_submittername.fa</v>
      </c>
      <c r="D59" s="95" t="s">
        <v>139</v>
      </c>
      <c r="E59" s="101" t="s">
        <v>104</v>
      </c>
      <c r="F59" s="101" t="s">
        <v>157</v>
      </c>
      <c r="G59" s="14"/>
      <c r="H59" s="15"/>
      <c r="I59" s="15"/>
      <c r="J59" s="15"/>
      <c r="O59" s="58"/>
    </row>
    <row r="60" spans="2:16" ht="13.5" customHeight="1" x14ac:dyDescent="0.15">
      <c r="B60" s="57" t="str">
        <f t="shared" si="2"/>
        <v>MIX2-B_1540-3381_1-1_rsva_submittername</v>
      </c>
      <c r="C60" s="1" t="str">
        <f t="shared" si="3"/>
        <v>MIX2-B_1540-3381_1-1_rsva_submittername.fa</v>
      </c>
      <c r="D60" s="95" t="s">
        <v>140</v>
      </c>
      <c r="E60" s="101" t="s">
        <v>101</v>
      </c>
      <c r="F60" s="101" t="s">
        <v>156</v>
      </c>
      <c r="G60" s="14"/>
      <c r="H60" s="15"/>
      <c r="I60" s="15"/>
      <c r="J60" s="15"/>
      <c r="O60" s="58"/>
    </row>
    <row r="61" spans="2:16" ht="13.5" customHeight="1" x14ac:dyDescent="0.15">
      <c r="B61" s="57" t="str">
        <f t="shared" si="2"/>
        <v>MIX2-B_1540-3381_1-1_rsvb_submittername</v>
      </c>
      <c r="C61" s="1" t="str">
        <f t="shared" si="3"/>
        <v>MIX2-B_1540-3381_1-1_rsvb_submittername.fa</v>
      </c>
      <c r="D61" s="95" t="s">
        <v>140</v>
      </c>
      <c r="E61" s="101" t="s">
        <v>104</v>
      </c>
      <c r="F61" s="101" t="s">
        <v>157</v>
      </c>
      <c r="G61" s="14"/>
      <c r="H61" s="15"/>
      <c r="I61" s="15"/>
      <c r="J61" s="15"/>
      <c r="O61" s="58"/>
    </row>
    <row r="62" spans="2:16" ht="13.5" customHeight="1" x14ac:dyDescent="0.15">
      <c r="B62" s="57" t="str">
        <f t="shared" si="2"/>
        <v>MIX2-C_1540-3381_1-4_rsva_submittername</v>
      </c>
      <c r="C62" s="1" t="str">
        <f t="shared" si="3"/>
        <v>MIX2-C_1540-3381_1-4_rsva_submittername.fa</v>
      </c>
      <c r="D62" s="95" t="s">
        <v>141</v>
      </c>
      <c r="E62" s="101" t="s">
        <v>101</v>
      </c>
      <c r="F62" s="101" t="s">
        <v>156</v>
      </c>
      <c r="G62" s="14"/>
      <c r="H62" s="15"/>
      <c r="I62" s="15"/>
      <c r="J62" s="15"/>
      <c r="O62" s="58"/>
    </row>
    <row r="63" spans="2:16" ht="13.5" customHeight="1" x14ac:dyDescent="0.15">
      <c r="B63" s="57" t="str">
        <f t="shared" si="2"/>
        <v>MIX2-C_1540-3381_1-4_rsvb_submittername</v>
      </c>
      <c r="C63" s="1" t="str">
        <f t="shared" si="3"/>
        <v>MIX2-C_1540-3381_1-4_rsvb_submittername.fa</v>
      </c>
      <c r="D63" s="95" t="s">
        <v>141</v>
      </c>
      <c r="E63" s="101" t="s">
        <v>104</v>
      </c>
      <c r="F63" s="101" t="s">
        <v>157</v>
      </c>
      <c r="G63" s="14"/>
      <c r="H63" s="15"/>
      <c r="I63" s="15"/>
      <c r="J63" s="15"/>
      <c r="O63" s="58"/>
    </row>
    <row r="64" spans="2:16" ht="13.5" customHeight="1" x14ac:dyDescent="0.15">
      <c r="B64" s="52" t="str">
        <f t="shared" si="2"/>
        <v>MIX3-A_1540-1469_4-1_rsva_submittername</v>
      </c>
      <c r="C64" s="32" t="str">
        <f t="shared" si="3"/>
        <v>MIX3-A_1540-1469_4-1_rsva_submittername.fa</v>
      </c>
      <c r="D64" s="33" t="s">
        <v>142</v>
      </c>
      <c r="E64" s="48" t="s">
        <v>101</v>
      </c>
      <c r="F64" s="48" t="s">
        <v>156</v>
      </c>
      <c r="G64" s="35"/>
      <c r="H64" s="36"/>
      <c r="I64" s="36"/>
      <c r="J64" s="36"/>
      <c r="K64" s="45"/>
      <c r="L64" s="45"/>
      <c r="M64" s="45"/>
      <c r="N64" s="45"/>
      <c r="O64" s="59"/>
    </row>
    <row r="65" spans="2:15" ht="13.5" customHeight="1" x14ac:dyDescent="0.15">
      <c r="B65" s="55" t="str">
        <f t="shared" si="2"/>
        <v>MIX3-A_1540-1469_4-1_flua1_submittername</v>
      </c>
      <c r="C65" s="41" t="str">
        <f t="shared" si="3"/>
        <v>MIX3-A_1540-1469_4-1_flua1_submittername.fa</v>
      </c>
      <c r="D65" s="42" t="s">
        <v>142</v>
      </c>
      <c r="E65" s="43" t="s">
        <v>51</v>
      </c>
      <c r="F65" s="43" t="s">
        <v>145</v>
      </c>
      <c r="G65" s="43"/>
      <c r="H65" s="44"/>
      <c r="I65" s="44"/>
      <c r="J65" s="44"/>
      <c r="K65" s="47"/>
      <c r="L65" s="47"/>
      <c r="M65" s="47"/>
      <c r="N65" s="47"/>
      <c r="O65" s="62"/>
    </row>
    <row r="66" spans="2:15" ht="13.5" customHeight="1" x14ac:dyDescent="0.15">
      <c r="B66" s="57" t="str">
        <f t="shared" si="2"/>
        <v>MIX3-A_1540-1469_4-1_flua2_submittername</v>
      </c>
      <c r="C66" s="1" t="str">
        <f t="shared" si="3"/>
        <v>MIX3-A_1540-1469_4-1_flua2_submittername.fa</v>
      </c>
      <c r="D66" s="95" t="s">
        <v>142</v>
      </c>
      <c r="E66" s="14" t="s">
        <v>54</v>
      </c>
      <c r="F66" s="14" t="s">
        <v>149</v>
      </c>
      <c r="G66" s="14"/>
      <c r="H66" s="15"/>
      <c r="I66" s="15"/>
      <c r="J66" s="15"/>
      <c r="O66" s="58"/>
    </row>
    <row r="67" spans="2:15" ht="13.5" customHeight="1" x14ac:dyDescent="0.15">
      <c r="B67" s="57" t="str">
        <f t="shared" si="2"/>
        <v>MIX3-A_1540-1469_4-1_flua3_submittername</v>
      </c>
      <c r="C67" s="1" t="str">
        <f t="shared" si="3"/>
        <v>MIX3-A_1540-1469_4-1_flua3_submittername.fa</v>
      </c>
      <c r="D67" s="95" t="s">
        <v>142</v>
      </c>
      <c r="E67" s="14" t="s">
        <v>56</v>
      </c>
      <c r="F67" s="14" t="s">
        <v>150</v>
      </c>
      <c r="G67" s="14"/>
      <c r="H67" s="15"/>
      <c r="I67" s="15"/>
      <c r="J67" s="15"/>
      <c r="O67" s="58"/>
    </row>
    <row r="68" spans="2:15" ht="13.5" customHeight="1" x14ac:dyDescent="0.15">
      <c r="B68" s="57" t="str">
        <f t="shared" si="2"/>
        <v>MIX3-A_1540-1469_4-1_flua4_submittername</v>
      </c>
      <c r="C68" s="1" t="str">
        <f t="shared" si="3"/>
        <v>MIX3-A_1540-1469_4-1_flua4_submittername.fa</v>
      </c>
      <c r="D68" s="95" t="s">
        <v>142</v>
      </c>
      <c r="E68" s="14" t="s">
        <v>58</v>
      </c>
      <c r="F68" s="14" t="s">
        <v>151</v>
      </c>
      <c r="G68" s="14"/>
      <c r="H68" s="15"/>
      <c r="I68" s="15"/>
      <c r="J68" s="15"/>
      <c r="O68" s="58"/>
    </row>
    <row r="69" spans="2:15" ht="13.5" customHeight="1" x14ac:dyDescent="0.15">
      <c r="B69" s="57" t="str">
        <f t="shared" si="2"/>
        <v>MIX3-A_1540-1469_4-1_flua5_submittername</v>
      </c>
      <c r="C69" s="1" t="str">
        <f t="shared" si="3"/>
        <v>MIX3-A_1540-1469_4-1_flua5_submittername.fa</v>
      </c>
      <c r="D69" s="95" t="s">
        <v>142</v>
      </c>
      <c r="E69" s="14" t="s">
        <v>60</v>
      </c>
      <c r="F69" s="14" t="s">
        <v>152</v>
      </c>
      <c r="G69" s="14"/>
      <c r="H69" s="15"/>
      <c r="I69" s="15"/>
      <c r="J69" s="15"/>
      <c r="O69" s="58"/>
    </row>
    <row r="70" spans="2:15" ht="13.5" customHeight="1" x14ac:dyDescent="0.15">
      <c r="B70" s="57" t="str">
        <f t="shared" si="2"/>
        <v>MIX3-A_1540-1469_4-1_flua6_submittername</v>
      </c>
      <c r="C70" s="1" t="str">
        <f t="shared" si="3"/>
        <v>MIX3-A_1540-1469_4-1_flua6_submittername.fa</v>
      </c>
      <c r="D70" s="95" t="s">
        <v>142</v>
      </c>
      <c r="E70" s="14" t="s">
        <v>62</v>
      </c>
      <c r="F70" s="14" t="s">
        <v>153</v>
      </c>
      <c r="G70" s="14"/>
      <c r="H70" s="15"/>
      <c r="I70" s="15"/>
      <c r="J70" s="15"/>
      <c r="O70" s="58"/>
    </row>
    <row r="71" spans="2:15" ht="13.5" customHeight="1" x14ac:dyDescent="0.15">
      <c r="B71" s="57" t="str">
        <f t="shared" si="2"/>
        <v>MIX3-A_1540-1469_4-1_flua7_submittername</v>
      </c>
      <c r="C71" s="1" t="str">
        <f t="shared" si="3"/>
        <v>MIX3-A_1540-1469_4-1_flua7_submittername.fa</v>
      </c>
      <c r="D71" s="95" t="s">
        <v>142</v>
      </c>
      <c r="E71" s="14" t="s">
        <v>64</v>
      </c>
      <c r="F71" s="14" t="s">
        <v>154</v>
      </c>
      <c r="G71" s="14"/>
      <c r="H71" s="15"/>
      <c r="I71" s="15"/>
      <c r="J71" s="15"/>
      <c r="O71" s="58"/>
    </row>
    <row r="72" spans="2:15" ht="13.5" customHeight="1" x14ac:dyDescent="0.15">
      <c r="B72" s="52" t="str">
        <f t="shared" si="2"/>
        <v>MIX3-A_1540-1469_4-1_flua8_submittername</v>
      </c>
      <c r="C72" s="32" t="str">
        <f t="shared" si="3"/>
        <v>MIX3-A_1540-1469_4-1_flua8_submittername.fa</v>
      </c>
      <c r="D72" s="33" t="s">
        <v>142</v>
      </c>
      <c r="E72" s="35" t="s">
        <v>66</v>
      </c>
      <c r="F72" s="35" t="s">
        <v>155</v>
      </c>
      <c r="G72" s="35"/>
      <c r="H72" s="36"/>
      <c r="I72" s="36"/>
      <c r="J72" s="36"/>
      <c r="K72" s="32"/>
      <c r="L72" s="32"/>
      <c r="M72" s="32"/>
      <c r="N72" s="32"/>
      <c r="O72" s="59"/>
    </row>
    <row r="73" spans="2:15" ht="13.5" customHeight="1" x14ac:dyDescent="0.15">
      <c r="B73" s="55" t="str">
        <f t="shared" si="2"/>
        <v>MIX3-B_1540-1469_1-1_rsva_submittername</v>
      </c>
      <c r="C73" s="41" t="str">
        <f t="shared" si="3"/>
        <v>MIX3-B_1540-1469_1-1_rsva_submittername.fa</v>
      </c>
      <c r="D73" s="42" t="s">
        <v>143</v>
      </c>
      <c r="E73" s="46" t="s">
        <v>101</v>
      </c>
      <c r="F73" s="43" t="s">
        <v>156</v>
      </c>
      <c r="G73" s="43"/>
      <c r="H73" s="44"/>
      <c r="I73" s="44"/>
      <c r="J73" s="44"/>
      <c r="K73" s="47"/>
      <c r="L73" s="47"/>
      <c r="M73" s="47"/>
      <c r="N73" s="47"/>
      <c r="O73" s="62"/>
    </row>
    <row r="74" spans="2:15" ht="13.5" customHeight="1" x14ac:dyDescent="0.15">
      <c r="B74" s="57" t="str">
        <f t="shared" si="2"/>
        <v>MIX3-B_1540-1469_1-1_flua1_submittername</v>
      </c>
      <c r="C74" s="1" t="str">
        <f t="shared" si="3"/>
        <v>MIX3-B_1540-1469_1-1_flua1_submittername.fa</v>
      </c>
      <c r="D74" s="95" t="s">
        <v>143</v>
      </c>
      <c r="E74" s="14" t="s">
        <v>51</v>
      </c>
      <c r="F74" s="14" t="s">
        <v>145</v>
      </c>
      <c r="G74" s="14"/>
      <c r="H74" s="15"/>
      <c r="I74" s="15"/>
      <c r="J74" s="15"/>
      <c r="O74" s="58"/>
    </row>
    <row r="75" spans="2:15" ht="13.5" customHeight="1" x14ac:dyDescent="0.15">
      <c r="B75" s="57" t="str">
        <f t="shared" ref="B75:B138" si="4">D75 &amp; "_" &amp; F75 &amp; "_" &amp; B$5</f>
        <v>MIX3-B_1540-1469_1-1_flua2_submittername</v>
      </c>
      <c r="C75" s="1" t="str">
        <f t="shared" ref="C75:C138" si="5">D75 &amp; "_" &amp; F75 &amp; "_" &amp; B$5 &amp; "." &amp; C$5</f>
        <v>MIX3-B_1540-1469_1-1_flua2_submittername.fa</v>
      </c>
      <c r="D75" s="95" t="s">
        <v>143</v>
      </c>
      <c r="E75" s="14" t="s">
        <v>54</v>
      </c>
      <c r="F75" s="14" t="s">
        <v>149</v>
      </c>
      <c r="G75" s="14"/>
      <c r="H75" s="15"/>
      <c r="I75" s="15"/>
      <c r="J75" s="15"/>
      <c r="O75" s="58"/>
    </row>
    <row r="76" spans="2:15" ht="13.5" customHeight="1" x14ac:dyDescent="0.15">
      <c r="B76" s="57" t="str">
        <f t="shared" si="4"/>
        <v>MIX3-B_1540-1469_1-1_flua3_submittername</v>
      </c>
      <c r="C76" s="1" t="str">
        <f t="shared" si="5"/>
        <v>MIX3-B_1540-1469_1-1_flua3_submittername.fa</v>
      </c>
      <c r="D76" s="95" t="s">
        <v>143</v>
      </c>
      <c r="E76" s="14" t="s">
        <v>56</v>
      </c>
      <c r="F76" s="14" t="s">
        <v>150</v>
      </c>
      <c r="G76" s="14"/>
      <c r="H76" s="15"/>
      <c r="I76" s="15"/>
      <c r="J76" s="15"/>
      <c r="O76" s="58"/>
    </row>
    <row r="77" spans="2:15" ht="13.5" customHeight="1" x14ac:dyDescent="0.15">
      <c r="B77" s="57" t="str">
        <f t="shared" si="4"/>
        <v>MIX3-B_1540-1469_1-1_flua4_submittername</v>
      </c>
      <c r="C77" s="1" t="str">
        <f t="shared" si="5"/>
        <v>MIX3-B_1540-1469_1-1_flua4_submittername.fa</v>
      </c>
      <c r="D77" s="95" t="s">
        <v>143</v>
      </c>
      <c r="E77" s="14" t="s">
        <v>58</v>
      </c>
      <c r="F77" s="14" t="s">
        <v>151</v>
      </c>
      <c r="G77" s="14"/>
      <c r="H77" s="15"/>
      <c r="I77" s="15"/>
      <c r="J77" s="15"/>
      <c r="O77" s="58"/>
    </row>
    <row r="78" spans="2:15" ht="13.5" customHeight="1" x14ac:dyDescent="0.15">
      <c r="B78" s="57" t="str">
        <f t="shared" si="4"/>
        <v>MIX3-B_1540-1469_1-1_flua5_submittername</v>
      </c>
      <c r="C78" s="1" t="str">
        <f t="shared" si="5"/>
        <v>MIX3-B_1540-1469_1-1_flua5_submittername.fa</v>
      </c>
      <c r="D78" s="95" t="s">
        <v>143</v>
      </c>
      <c r="E78" s="14" t="s">
        <v>60</v>
      </c>
      <c r="F78" s="14" t="s">
        <v>152</v>
      </c>
      <c r="G78" s="14"/>
      <c r="H78" s="15"/>
      <c r="I78" s="15"/>
      <c r="J78" s="15"/>
      <c r="O78" s="58"/>
    </row>
    <row r="79" spans="2:15" ht="13.5" customHeight="1" x14ac:dyDescent="0.15">
      <c r="B79" s="57" t="str">
        <f t="shared" si="4"/>
        <v>MIX3-B_1540-1469_1-1_flua6_submittername</v>
      </c>
      <c r="C79" s="1" t="str">
        <f t="shared" si="5"/>
        <v>MIX3-B_1540-1469_1-1_flua6_submittername.fa</v>
      </c>
      <c r="D79" s="95" t="s">
        <v>143</v>
      </c>
      <c r="E79" s="14" t="s">
        <v>62</v>
      </c>
      <c r="F79" s="14" t="s">
        <v>153</v>
      </c>
      <c r="G79" s="14"/>
      <c r="H79" s="15"/>
      <c r="I79" s="15"/>
      <c r="J79" s="15"/>
      <c r="O79" s="58"/>
    </row>
    <row r="80" spans="2:15" ht="13.5" customHeight="1" x14ac:dyDescent="0.15">
      <c r="B80" s="57" t="str">
        <f t="shared" si="4"/>
        <v>MIX3-B_1540-1469_1-1_flua7_submittername</v>
      </c>
      <c r="C80" s="1" t="str">
        <f t="shared" si="5"/>
        <v>MIX3-B_1540-1469_1-1_flua7_submittername.fa</v>
      </c>
      <c r="D80" s="95" t="s">
        <v>143</v>
      </c>
      <c r="E80" s="14" t="s">
        <v>64</v>
      </c>
      <c r="F80" s="14" t="s">
        <v>154</v>
      </c>
      <c r="G80" s="14"/>
      <c r="H80" s="15"/>
      <c r="I80" s="15"/>
      <c r="J80" s="15"/>
      <c r="O80" s="58"/>
    </row>
    <row r="81" spans="2:15" ht="13.5" customHeight="1" x14ac:dyDescent="0.15">
      <c r="B81" s="52" t="str">
        <f t="shared" si="4"/>
        <v>MIX3-B_1540-1469_1-1_flua8_submittername</v>
      </c>
      <c r="C81" s="32" t="str">
        <f t="shared" si="5"/>
        <v>MIX3-B_1540-1469_1-1_flua8_submittername.fa</v>
      </c>
      <c r="D81" s="33" t="s">
        <v>143</v>
      </c>
      <c r="E81" s="35" t="s">
        <v>66</v>
      </c>
      <c r="F81" s="35" t="s">
        <v>155</v>
      </c>
      <c r="G81" s="35"/>
      <c r="H81" s="36"/>
      <c r="I81" s="36"/>
      <c r="J81" s="36"/>
      <c r="K81" s="32"/>
      <c r="L81" s="32"/>
      <c r="M81" s="32"/>
      <c r="N81" s="32"/>
      <c r="O81" s="59"/>
    </row>
    <row r="82" spans="2:15" ht="13.5" customHeight="1" x14ac:dyDescent="0.15">
      <c r="B82" s="57" t="str">
        <f t="shared" si="4"/>
        <v>MIX3-C_1540-1469_1-4_rsva_submittername</v>
      </c>
      <c r="C82" s="1" t="str">
        <f t="shared" si="5"/>
        <v>MIX3-C_1540-1469_1-4_rsva_submittername.fa</v>
      </c>
      <c r="D82" s="95" t="s">
        <v>144</v>
      </c>
      <c r="E82" s="101" t="s">
        <v>101</v>
      </c>
      <c r="F82" s="43" t="s">
        <v>156</v>
      </c>
      <c r="G82" s="14"/>
      <c r="H82" s="15"/>
      <c r="I82" s="44"/>
      <c r="J82" s="15"/>
      <c r="O82" s="58"/>
    </row>
    <row r="83" spans="2:15" ht="13.5" customHeight="1" x14ac:dyDescent="0.15">
      <c r="B83" s="57" t="str">
        <f t="shared" si="4"/>
        <v>MIX3-C_1540-1469_1-4_flua1_submittername</v>
      </c>
      <c r="C83" s="1" t="str">
        <f t="shared" si="5"/>
        <v>MIX3-C_1540-1469_1-4_flua1_submittername.fa</v>
      </c>
      <c r="D83" s="95" t="s">
        <v>144</v>
      </c>
      <c r="E83" s="14" t="s">
        <v>51</v>
      </c>
      <c r="F83" s="14" t="s">
        <v>145</v>
      </c>
      <c r="G83" s="14"/>
      <c r="H83" s="15"/>
      <c r="I83" s="15"/>
      <c r="J83" s="15"/>
      <c r="O83" s="58"/>
    </row>
    <row r="84" spans="2:15" ht="13.5" customHeight="1" x14ac:dyDescent="0.15">
      <c r="B84" s="57" t="str">
        <f t="shared" si="4"/>
        <v>MIX3-C_1540-1469_1-4_flua2_submittername</v>
      </c>
      <c r="C84" s="1" t="str">
        <f t="shared" si="5"/>
        <v>MIX3-C_1540-1469_1-4_flua2_submittername.fa</v>
      </c>
      <c r="D84" s="95" t="s">
        <v>144</v>
      </c>
      <c r="E84" s="14" t="s">
        <v>54</v>
      </c>
      <c r="F84" s="14" t="s">
        <v>149</v>
      </c>
      <c r="G84" s="14"/>
      <c r="H84" s="15"/>
      <c r="I84" s="15"/>
      <c r="J84" s="15"/>
      <c r="O84" s="58"/>
    </row>
    <row r="85" spans="2:15" ht="13.5" customHeight="1" x14ac:dyDescent="0.15">
      <c r="B85" s="57" t="str">
        <f t="shared" si="4"/>
        <v>MIX3-C_1540-1469_1-4_flua3_submittername</v>
      </c>
      <c r="C85" s="1" t="str">
        <f t="shared" si="5"/>
        <v>MIX3-C_1540-1469_1-4_flua3_submittername.fa</v>
      </c>
      <c r="D85" s="95" t="s">
        <v>144</v>
      </c>
      <c r="E85" s="14" t="s">
        <v>56</v>
      </c>
      <c r="F85" s="14" t="s">
        <v>150</v>
      </c>
      <c r="G85" s="14"/>
      <c r="H85" s="15"/>
      <c r="I85" s="15"/>
      <c r="J85" s="15"/>
      <c r="O85" s="58"/>
    </row>
    <row r="86" spans="2:15" ht="13.5" customHeight="1" x14ac:dyDescent="0.15">
      <c r="B86" s="57" t="str">
        <f t="shared" si="4"/>
        <v>MIX3-C_1540-1469_1-4_flua4_submittername</v>
      </c>
      <c r="C86" s="1" t="str">
        <f t="shared" si="5"/>
        <v>MIX3-C_1540-1469_1-4_flua4_submittername.fa</v>
      </c>
      <c r="D86" s="95" t="s">
        <v>144</v>
      </c>
      <c r="E86" s="14" t="s">
        <v>58</v>
      </c>
      <c r="F86" s="14" t="s">
        <v>151</v>
      </c>
      <c r="G86" s="14"/>
      <c r="H86" s="15"/>
      <c r="J86" s="15"/>
      <c r="O86" s="58"/>
    </row>
    <row r="87" spans="2:15" ht="13.5" customHeight="1" x14ac:dyDescent="0.15">
      <c r="B87" s="57" t="str">
        <f t="shared" si="4"/>
        <v>MIX3-C_1540-1469_1-4_flua5_submittername</v>
      </c>
      <c r="C87" s="1" t="str">
        <f t="shared" si="5"/>
        <v>MIX3-C_1540-1469_1-4_flua5_submittername.fa</v>
      </c>
      <c r="D87" s="95" t="s">
        <v>144</v>
      </c>
      <c r="E87" s="14" t="s">
        <v>60</v>
      </c>
      <c r="F87" s="14" t="s">
        <v>152</v>
      </c>
      <c r="G87" s="14"/>
      <c r="H87" s="15"/>
      <c r="J87" s="15"/>
      <c r="O87" s="58"/>
    </row>
    <row r="88" spans="2:15" ht="13.5" customHeight="1" x14ac:dyDescent="0.15">
      <c r="B88" s="57" t="str">
        <f t="shared" si="4"/>
        <v>MIX3-C_1540-1469_1-4_flua6_submittername</v>
      </c>
      <c r="C88" s="1" t="str">
        <f t="shared" si="5"/>
        <v>MIX3-C_1540-1469_1-4_flua6_submittername.fa</v>
      </c>
      <c r="D88" s="95" t="s">
        <v>144</v>
      </c>
      <c r="E88" s="14" t="s">
        <v>62</v>
      </c>
      <c r="F88" s="14" t="s">
        <v>153</v>
      </c>
      <c r="G88" s="14"/>
      <c r="H88" s="15"/>
      <c r="J88" s="15"/>
      <c r="O88" s="58"/>
    </row>
    <row r="89" spans="2:15" ht="13.5" customHeight="1" x14ac:dyDescent="0.15">
      <c r="B89" s="57" t="str">
        <f t="shared" si="4"/>
        <v>MIX3-C_1540-1469_1-4_flua7_submittername</v>
      </c>
      <c r="C89" s="1" t="str">
        <f t="shared" si="5"/>
        <v>MIX3-C_1540-1469_1-4_flua7_submittername.fa</v>
      </c>
      <c r="D89" s="95" t="s">
        <v>144</v>
      </c>
      <c r="E89" s="14" t="s">
        <v>64</v>
      </c>
      <c r="F89" s="14" t="s">
        <v>154</v>
      </c>
      <c r="G89" s="14"/>
      <c r="H89" s="15"/>
      <c r="J89" s="15"/>
      <c r="O89" s="58"/>
    </row>
    <row r="90" spans="2:15" ht="13.5" customHeight="1" x14ac:dyDescent="0.15">
      <c r="B90" s="52" t="str">
        <f t="shared" si="4"/>
        <v>MIX3-C_1540-1469_1-4_flua8_submittername</v>
      </c>
      <c r="C90" s="32" t="str">
        <f t="shared" si="5"/>
        <v>MIX3-C_1540-1469_1-4_flua8_submittername.fa</v>
      </c>
      <c r="D90" s="33" t="s">
        <v>144</v>
      </c>
      <c r="E90" s="35" t="s">
        <v>66</v>
      </c>
      <c r="F90" s="35" t="s">
        <v>155</v>
      </c>
      <c r="G90" s="35"/>
      <c r="H90" s="36"/>
      <c r="I90" s="32"/>
      <c r="J90" s="36"/>
      <c r="K90" s="32"/>
      <c r="L90" s="32"/>
      <c r="M90" s="32"/>
      <c r="N90" s="32"/>
      <c r="O90" s="59"/>
    </row>
    <row r="91" spans="2:15" ht="15.75" customHeight="1" x14ac:dyDescent="0.15">
      <c r="B91" s="57" t="str">
        <f t="shared" si="4"/>
        <v>MIX4-A_1469-777_4-1_flua1_submittername</v>
      </c>
      <c r="C91" s="1" t="str">
        <f t="shared" si="5"/>
        <v>MIX4-A_1469-777_4-1_flua1_submittername.fa</v>
      </c>
      <c r="D91" s="95" t="s">
        <v>176</v>
      </c>
      <c r="E91" s="14" t="s">
        <v>51</v>
      </c>
      <c r="F91" s="14" t="s">
        <v>145</v>
      </c>
      <c r="O91" s="97"/>
    </row>
    <row r="92" spans="2:15" ht="15.75" customHeight="1" x14ac:dyDescent="0.15">
      <c r="B92" s="57" t="str">
        <f t="shared" si="4"/>
        <v>MIX4-A_1469-777_4-1_flua2_submittername</v>
      </c>
      <c r="C92" s="1" t="str">
        <f t="shared" si="5"/>
        <v>MIX4-A_1469-777_4-1_flua2_submittername.fa</v>
      </c>
      <c r="D92" s="95" t="s">
        <v>176</v>
      </c>
      <c r="E92" s="14" t="s">
        <v>54</v>
      </c>
      <c r="F92" s="14" t="s">
        <v>149</v>
      </c>
      <c r="O92" s="97"/>
    </row>
    <row r="93" spans="2:15" ht="15.75" customHeight="1" x14ac:dyDescent="0.15">
      <c r="B93" s="57" t="str">
        <f t="shared" si="4"/>
        <v>MIX4-A_1469-777_4-1_flua3_submittername</v>
      </c>
      <c r="C93" s="1" t="str">
        <f t="shared" si="5"/>
        <v>MIX4-A_1469-777_4-1_flua3_submittername.fa</v>
      </c>
      <c r="D93" s="95" t="s">
        <v>176</v>
      </c>
      <c r="E93" s="14" t="s">
        <v>56</v>
      </c>
      <c r="F93" s="14" t="s">
        <v>150</v>
      </c>
      <c r="O93" s="97"/>
    </row>
    <row r="94" spans="2:15" ht="15.75" customHeight="1" x14ac:dyDescent="0.15">
      <c r="B94" s="57" t="str">
        <f t="shared" si="4"/>
        <v>MIX4-A_1469-777_4-1_flua4_submittername</v>
      </c>
      <c r="C94" s="1" t="str">
        <f t="shared" si="5"/>
        <v>MIX4-A_1469-777_4-1_flua4_submittername.fa</v>
      </c>
      <c r="D94" s="95" t="s">
        <v>176</v>
      </c>
      <c r="E94" s="14" t="s">
        <v>58</v>
      </c>
      <c r="F94" s="14" t="s">
        <v>151</v>
      </c>
      <c r="O94" s="97"/>
    </row>
    <row r="95" spans="2:15" ht="15.75" customHeight="1" x14ac:dyDescent="0.15">
      <c r="B95" s="57" t="str">
        <f t="shared" si="4"/>
        <v>MIX4-A_1469-777_4-1_flua5_submittername</v>
      </c>
      <c r="C95" s="1" t="str">
        <f t="shared" si="5"/>
        <v>MIX4-A_1469-777_4-1_flua5_submittername.fa</v>
      </c>
      <c r="D95" s="95" t="s">
        <v>176</v>
      </c>
      <c r="E95" s="14" t="s">
        <v>60</v>
      </c>
      <c r="F95" s="14" t="s">
        <v>152</v>
      </c>
      <c r="O95" s="97"/>
    </row>
    <row r="96" spans="2:15" ht="15.75" customHeight="1" x14ac:dyDescent="0.15">
      <c r="B96" s="57" t="str">
        <f t="shared" si="4"/>
        <v>MIX4-A_1469-777_4-1_flua6_submittername</v>
      </c>
      <c r="C96" s="1" t="str">
        <f t="shared" si="5"/>
        <v>MIX4-A_1469-777_4-1_flua6_submittername.fa</v>
      </c>
      <c r="D96" s="95" t="s">
        <v>176</v>
      </c>
      <c r="E96" s="14" t="s">
        <v>62</v>
      </c>
      <c r="F96" s="14" t="s">
        <v>153</v>
      </c>
      <c r="O96" s="97"/>
    </row>
    <row r="97" spans="2:15" ht="15.75" customHeight="1" x14ac:dyDescent="0.15">
      <c r="B97" s="57" t="str">
        <f t="shared" si="4"/>
        <v>MIX4-A_1469-777_4-1_flua7_submittername</v>
      </c>
      <c r="C97" s="1" t="str">
        <f t="shared" si="5"/>
        <v>MIX4-A_1469-777_4-1_flua7_submittername.fa</v>
      </c>
      <c r="D97" s="95" t="s">
        <v>176</v>
      </c>
      <c r="E97" s="14" t="s">
        <v>64</v>
      </c>
      <c r="F97" s="14" t="s">
        <v>154</v>
      </c>
      <c r="O97" s="97"/>
    </row>
    <row r="98" spans="2:15" ht="15.75" customHeight="1" x14ac:dyDescent="0.15">
      <c r="B98" s="52" t="str">
        <f t="shared" si="4"/>
        <v>MIX4-A_1469-777_4-1_flua8_submittername</v>
      </c>
      <c r="C98" s="32" t="str">
        <f t="shared" si="5"/>
        <v>MIX4-A_1469-777_4-1_flua8_submittername.fa</v>
      </c>
      <c r="D98" s="33" t="s">
        <v>176</v>
      </c>
      <c r="E98" s="35" t="s">
        <v>66</v>
      </c>
      <c r="F98" s="35" t="s">
        <v>155</v>
      </c>
      <c r="G98" s="45"/>
      <c r="H98" s="45"/>
      <c r="I98" s="45"/>
      <c r="J98" s="45"/>
      <c r="K98" s="45"/>
      <c r="L98" s="45"/>
      <c r="M98" s="45"/>
      <c r="N98" s="45"/>
      <c r="O98" s="98"/>
    </row>
    <row r="99" spans="2:15" ht="15.75" customHeight="1" x14ac:dyDescent="0.15">
      <c r="B99" s="55" t="str">
        <f t="shared" si="4"/>
        <v>MIX4-B_1469-777_1-1_flua1_submittername</v>
      </c>
      <c r="C99" s="41" t="str">
        <f t="shared" si="5"/>
        <v>MIX4-B_1469-777_1-1_flua1_submittername.fa</v>
      </c>
      <c r="D99" s="42" t="s">
        <v>173</v>
      </c>
      <c r="E99" s="43" t="s">
        <v>51</v>
      </c>
      <c r="F99" s="43" t="s">
        <v>145</v>
      </c>
      <c r="G99" s="47"/>
      <c r="H99" s="47"/>
      <c r="I99" s="47"/>
      <c r="J99" s="47"/>
      <c r="K99" s="47"/>
      <c r="L99" s="47"/>
      <c r="M99" s="47"/>
      <c r="N99" s="47"/>
      <c r="O99" s="96"/>
    </row>
    <row r="100" spans="2:15" ht="15.75" customHeight="1" x14ac:dyDescent="0.15">
      <c r="B100" s="57" t="str">
        <f t="shared" si="4"/>
        <v>MIX4-B_1469-777_1-1_flua2_submittername</v>
      </c>
      <c r="C100" s="1" t="str">
        <f t="shared" si="5"/>
        <v>MIX4-B_1469-777_1-1_flua2_submittername.fa</v>
      </c>
      <c r="D100" s="95" t="s">
        <v>173</v>
      </c>
      <c r="E100" s="14" t="s">
        <v>54</v>
      </c>
      <c r="F100" s="14" t="s">
        <v>149</v>
      </c>
      <c r="O100" s="97"/>
    </row>
    <row r="101" spans="2:15" ht="15.75" customHeight="1" x14ac:dyDescent="0.15">
      <c r="B101" s="57" t="str">
        <f t="shared" si="4"/>
        <v>MIX4-B_1469-777_1-1_flua3_submittername</v>
      </c>
      <c r="C101" s="1" t="str">
        <f t="shared" si="5"/>
        <v>MIX4-B_1469-777_1-1_flua3_submittername.fa</v>
      </c>
      <c r="D101" s="95" t="s">
        <v>173</v>
      </c>
      <c r="E101" s="14" t="s">
        <v>56</v>
      </c>
      <c r="F101" s="14" t="s">
        <v>150</v>
      </c>
      <c r="O101" s="97"/>
    </row>
    <row r="102" spans="2:15" ht="15.75" customHeight="1" x14ac:dyDescent="0.15">
      <c r="B102" s="57" t="str">
        <f t="shared" si="4"/>
        <v>MIX4-B_1469-777_1-1_flua4_submittername</v>
      </c>
      <c r="C102" s="1" t="str">
        <f t="shared" si="5"/>
        <v>MIX4-B_1469-777_1-1_flua4_submittername.fa</v>
      </c>
      <c r="D102" s="95" t="s">
        <v>173</v>
      </c>
      <c r="E102" s="14" t="s">
        <v>58</v>
      </c>
      <c r="F102" s="14" t="s">
        <v>151</v>
      </c>
      <c r="O102" s="97"/>
    </row>
    <row r="103" spans="2:15" ht="15.75" customHeight="1" x14ac:dyDescent="0.15">
      <c r="B103" s="57" t="str">
        <f t="shared" si="4"/>
        <v>MIX4-B_1469-777_1-1_flua5_submittername</v>
      </c>
      <c r="C103" s="1" t="str">
        <f t="shared" si="5"/>
        <v>MIX4-B_1469-777_1-1_flua5_submittername.fa</v>
      </c>
      <c r="D103" s="95" t="s">
        <v>173</v>
      </c>
      <c r="E103" s="14" t="s">
        <v>60</v>
      </c>
      <c r="F103" s="14" t="s">
        <v>152</v>
      </c>
      <c r="O103" s="97"/>
    </row>
    <row r="104" spans="2:15" ht="15.75" customHeight="1" x14ac:dyDescent="0.15">
      <c r="B104" s="57" t="str">
        <f t="shared" si="4"/>
        <v>MIX4-B_1469-777_1-1_flua6_submittername</v>
      </c>
      <c r="C104" s="1" t="str">
        <f t="shared" si="5"/>
        <v>MIX4-B_1469-777_1-1_flua6_submittername.fa</v>
      </c>
      <c r="D104" s="95" t="s">
        <v>173</v>
      </c>
      <c r="E104" s="14" t="s">
        <v>62</v>
      </c>
      <c r="F104" s="14" t="s">
        <v>153</v>
      </c>
      <c r="O104" s="97"/>
    </row>
    <row r="105" spans="2:15" ht="15.75" customHeight="1" x14ac:dyDescent="0.15">
      <c r="B105" s="57" t="str">
        <f t="shared" si="4"/>
        <v>MIX4-B_1469-777_1-1_flua7_submittername</v>
      </c>
      <c r="C105" s="1" t="str">
        <f t="shared" si="5"/>
        <v>MIX4-B_1469-777_1-1_flua7_submittername.fa</v>
      </c>
      <c r="D105" s="95" t="s">
        <v>173</v>
      </c>
      <c r="E105" s="14" t="s">
        <v>64</v>
      </c>
      <c r="F105" s="14" t="s">
        <v>154</v>
      </c>
      <c r="O105" s="97"/>
    </row>
    <row r="106" spans="2:15" ht="15.75" customHeight="1" x14ac:dyDescent="0.15">
      <c r="B106" s="52" t="str">
        <f t="shared" si="4"/>
        <v>MIX4-B_1469-777_1-1_flua8_submittername</v>
      </c>
      <c r="C106" s="32" t="str">
        <f t="shared" si="5"/>
        <v>MIX4-B_1469-777_1-1_flua8_submittername.fa</v>
      </c>
      <c r="D106" s="33" t="s">
        <v>173</v>
      </c>
      <c r="E106" s="35" t="s">
        <v>66</v>
      </c>
      <c r="F106" s="35" t="s">
        <v>155</v>
      </c>
      <c r="G106" s="45"/>
      <c r="H106" s="45"/>
      <c r="I106" s="45"/>
      <c r="J106" s="45"/>
      <c r="K106" s="45"/>
      <c r="L106" s="45"/>
      <c r="M106" s="45"/>
      <c r="N106" s="45"/>
      <c r="O106" s="98"/>
    </row>
    <row r="107" spans="2:15" ht="15.75" customHeight="1" x14ac:dyDescent="0.15">
      <c r="B107" s="55" t="str">
        <f t="shared" si="4"/>
        <v>MIX4-C_1469-777_1-1_flua1_submittername</v>
      </c>
      <c r="C107" s="41" t="str">
        <f t="shared" si="5"/>
        <v>MIX4-C_1469-777_1-1_flua1_submittername.fa</v>
      </c>
      <c r="D107" s="42" t="s">
        <v>292</v>
      </c>
      <c r="E107" s="43" t="s">
        <v>51</v>
      </c>
      <c r="F107" s="43" t="s">
        <v>145</v>
      </c>
      <c r="G107" s="47"/>
      <c r="H107" s="47"/>
      <c r="I107" s="47"/>
      <c r="J107" s="47"/>
      <c r="K107" s="47"/>
      <c r="L107" s="47"/>
      <c r="M107" s="47"/>
      <c r="N107" s="47"/>
      <c r="O107" s="96"/>
    </row>
    <row r="108" spans="2:15" ht="15.75" customHeight="1" x14ac:dyDescent="0.15">
      <c r="B108" s="57" t="str">
        <f t="shared" si="4"/>
        <v>MIX4-C_1469-777_1-1_flua2_submittername</v>
      </c>
      <c r="C108" s="1" t="str">
        <f t="shared" si="5"/>
        <v>MIX4-C_1469-777_1-1_flua2_submittername.fa</v>
      </c>
      <c r="D108" s="95" t="s">
        <v>292</v>
      </c>
      <c r="E108" s="14" t="s">
        <v>54</v>
      </c>
      <c r="F108" s="14" t="s">
        <v>149</v>
      </c>
      <c r="O108" s="97"/>
    </row>
    <row r="109" spans="2:15" ht="15.75" customHeight="1" x14ac:dyDescent="0.15">
      <c r="B109" s="57" t="str">
        <f t="shared" si="4"/>
        <v>MIX4-C_1469-777_1-1_flua3_submittername</v>
      </c>
      <c r="C109" s="1" t="str">
        <f t="shared" si="5"/>
        <v>MIX4-C_1469-777_1-1_flua3_submittername.fa</v>
      </c>
      <c r="D109" s="95" t="s">
        <v>292</v>
      </c>
      <c r="E109" s="14" t="s">
        <v>56</v>
      </c>
      <c r="F109" s="14" t="s">
        <v>150</v>
      </c>
      <c r="O109" s="97"/>
    </row>
    <row r="110" spans="2:15" ht="15.75" customHeight="1" x14ac:dyDescent="0.15">
      <c r="B110" s="57" t="str">
        <f t="shared" si="4"/>
        <v>MIX4-C_1469-777_1-1_flua4_submittername</v>
      </c>
      <c r="C110" s="1" t="str">
        <f t="shared" si="5"/>
        <v>MIX4-C_1469-777_1-1_flua4_submittername.fa</v>
      </c>
      <c r="D110" s="95" t="s">
        <v>292</v>
      </c>
      <c r="E110" s="14" t="s">
        <v>58</v>
      </c>
      <c r="F110" s="14" t="s">
        <v>151</v>
      </c>
      <c r="O110" s="97"/>
    </row>
    <row r="111" spans="2:15" ht="15.75" customHeight="1" x14ac:dyDescent="0.15">
      <c r="B111" s="57" t="str">
        <f t="shared" si="4"/>
        <v>MIX4-C_1469-777_1-1_flua5_submittername</v>
      </c>
      <c r="C111" s="1" t="str">
        <f t="shared" si="5"/>
        <v>MIX4-C_1469-777_1-1_flua5_submittername.fa</v>
      </c>
      <c r="D111" s="95" t="s">
        <v>292</v>
      </c>
      <c r="E111" s="14" t="s">
        <v>60</v>
      </c>
      <c r="F111" s="14" t="s">
        <v>152</v>
      </c>
      <c r="O111" s="97"/>
    </row>
    <row r="112" spans="2:15" ht="15.75" customHeight="1" x14ac:dyDescent="0.15">
      <c r="B112" s="57" t="str">
        <f t="shared" si="4"/>
        <v>MIX4-C_1469-777_1-1_flua6_submittername</v>
      </c>
      <c r="C112" s="1" t="str">
        <f t="shared" si="5"/>
        <v>MIX4-C_1469-777_1-1_flua6_submittername.fa</v>
      </c>
      <c r="D112" s="95" t="s">
        <v>292</v>
      </c>
      <c r="E112" s="14" t="s">
        <v>62</v>
      </c>
      <c r="F112" s="14" t="s">
        <v>153</v>
      </c>
      <c r="O112" s="97"/>
    </row>
    <row r="113" spans="2:15" ht="15.75" customHeight="1" x14ac:dyDescent="0.15">
      <c r="B113" s="57" t="str">
        <f t="shared" si="4"/>
        <v>MIX4-C_1469-777_1-1_flua7_submittername</v>
      </c>
      <c r="C113" s="1" t="str">
        <f t="shared" si="5"/>
        <v>MIX4-C_1469-777_1-1_flua7_submittername.fa</v>
      </c>
      <c r="D113" s="95" t="s">
        <v>292</v>
      </c>
      <c r="E113" s="14" t="s">
        <v>64</v>
      </c>
      <c r="F113" s="14" t="s">
        <v>154</v>
      </c>
      <c r="O113" s="97"/>
    </row>
    <row r="114" spans="2:15" ht="15.75" customHeight="1" x14ac:dyDescent="0.15">
      <c r="B114" s="52" t="str">
        <f t="shared" si="4"/>
        <v>MIX4-C_1469-777_1-1_flua8_submittername</v>
      </c>
      <c r="C114" s="32" t="str">
        <f t="shared" si="5"/>
        <v>MIX4-C_1469-777_1-1_flua8_submittername.fa</v>
      </c>
      <c r="D114" s="33" t="s">
        <v>292</v>
      </c>
      <c r="E114" s="35" t="s">
        <v>66</v>
      </c>
      <c r="F114" s="35" t="s">
        <v>155</v>
      </c>
      <c r="G114" s="45"/>
      <c r="H114" s="45"/>
      <c r="I114" s="45"/>
      <c r="J114" s="45"/>
      <c r="K114" s="45"/>
      <c r="L114" s="45"/>
      <c r="M114" s="45"/>
      <c r="N114" s="45"/>
      <c r="O114" s="98"/>
    </row>
    <row r="115" spans="2:15" ht="15.75" customHeight="1" x14ac:dyDescent="0.15">
      <c r="B115" s="55" t="str">
        <f t="shared" si="4"/>
        <v>MIX5-A_1540-1469_4-1_rsva_submittername</v>
      </c>
      <c r="C115" s="41" t="str">
        <f t="shared" si="5"/>
        <v>MIX5-A_1540-1469_4-1_rsva_submittername.fa</v>
      </c>
      <c r="D115" s="42" t="s">
        <v>167</v>
      </c>
      <c r="E115" s="43" t="s">
        <v>101</v>
      </c>
      <c r="F115" s="43" t="s">
        <v>156</v>
      </c>
      <c r="G115" s="47"/>
      <c r="H115" s="47"/>
      <c r="I115" s="47"/>
      <c r="J115" s="47"/>
      <c r="K115" s="47"/>
      <c r="L115" s="47"/>
      <c r="M115" s="47"/>
      <c r="N115" s="47"/>
      <c r="O115" s="96"/>
    </row>
    <row r="116" spans="2:15" ht="15.75" customHeight="1" x14ac:dyDescent="0.15">
      <c r="B116" s="57" t="str">
        <f t="shared" si="4"/>
        <v>MIX5-A_1540-1469_4-1_flua1_submittername</v>
      </c>
      <c r="C116" s="1" t="str">
        <f t="shared" si="5"/>
        <v>MIX5-A_1540-1469_4-1_flua1_submittername.fa</v>
      </c>
      <c r="D116" s="95" t="s">
        <v>167</v>
      </c>
      <c r="E116" s="14" t="s">
        <v>51</v>
      </c>
      <c r="F116" s="14" t="s">
        <v>145</v>
      </c>
      <c r="O116" s="97"/>
    </row>
    <row r="117" spans="2:15" ht="15.75" customHeight="1" x14ac:dyDescent="0.15">
      <c r="B117" s="57" t="str">
        <f t="shared" si="4"/>
        <v>MIX5-A_1540-1469_4-1_flua2_submittername</v>
      </c>
      <c r="C117" s="1" t="str">
        <f t="shared" si="5"/>
        <v>MIX5-A_1540-1469_4-1_flua2_submittername.fa</v>
      </c>
      <c r="D117" s="95" t="s">
        <v>167</v>
      </c>
      <c r="E117" s="14" t="s">
        <v>54</v>
      </c>
      <c r="F117" s="14" t="s">
        <v>149</v>
      </c>
      <c r="O117" s="97"/>
    </row>
    <row r="118" spans="2:15" ht="15.75" customHeight="1" x14ac:dyDescent="0.15">
      <c r="B118" s="57" t="str">
        <f t="shared" si="4"/>
        <v>MIX5-A_1540-1469_4-1_flua3_submittername</v>
      </c>
      <c r="C118" s="1" t="str">
        <f t="shared" si="5"/>
        <v>MIX5-A_1540-1469_4-1_flua3_submittername.fa</v>
      </c>
      <c r="D118" s="95" t="s">
        <v>167</v>
      </c>
      <c r="E118" s="14" t="s">
        <v>56</v>
      </c>
      <c r="F118" s="14" t="s">
        <v>150</v>
      </c>
      <c r="O118" s="97"/>
    </row>
    <row r="119" spans="2:15" ht="15.75" customHeight="1" x14ac:dyDescent="0.15">
      <c r="B119" s="57" t="str">
        <f t="shared" si="4"/>
        <v>MIX5-A_1540-1469_4-1_flua4_submittername</v>
      </c>
      <c r="C119" s="1" t="str">
        <f t="shared" si="5"/>
        <v>MIX5-A_1540-1469_4-1_flua4_submittername.fa</v>
      </c>
      <c r="D119" s="95" t="s">
        <v>167</v>
      </c>
      <c r="E119" s="14" t="s">
        <v>58</v>
      </c>
      <c r="F119" s="14" t="s">
        <v>151</v>
      </c>
      <c r="O119" s="97"/>
    </row>
    <row r="120" spans="2:15" ht="15.75" customHeight="1" x14ac:dyDescent="0.15">
      <c r="B120" s="57" t="str">
        <f t="shared" si="4"/>
        <v>MIX5-A_1540-1469_4-1_flua5_submittername</v>
      </c>
      <c r="C120" s="1" t="str">
        <f t="shared" si="5"/>
        <v>MIX5-A_1540-1469_4-1_flua5_submittername.fa</v>
      </c>
      <c r="D120" s="95" t="s">
        <v>167</v>
      </c>
      <c r="E120" s="14" t="s">
        <v>60</v>
      </c>
      <c r="F120" s="14" t="s">
        <v>152</v>
      </c>
      <c r="O120" s="97"/>
    </row>
    <row r="121" spans="2:15" ht="15.75" customHeight="1" x14ac:dyDescent="0.15">
      <c r="B121" s="57" t="str">
        <f t="shared" si="4"/>
        <v>MIX5-A_1540-1469_4-1_flua6_submittername</v>
      </c>
      <c r="C121" s="1" t="str">
        <f t="shared" si="5"/>
        <v>MIX5-A_1540-1469_4-1_flua6_submittername.fa</v>
      </c>
      <c r="D121" s="95" t="s">
        <v>167</v>
      </c>
      <c r="E121" s="14" t="s">
        <v>62</v>
      </c>
      <c r="F121" s="14" t="s">
        <v>153</v>
      </c>
      <c r="O121" s="97"/>
    </row>
    <row r="122" spans="2:15" ht="15.75" customHeight="1" x14ac:dyDescent="0.15">
      <c r="B122" s="57" t="str">
        <f t="shared" si="4"/>
        <v>MIX5-A_1540-1469_4-1_flua7_submittername</v>
      </c>
      <c r="C122" s="1" t="str">
        <f t="shared" si="5"/>
        <v>MIX5-A_1540-1469_4-1_flua7_submittername.fa</v>
      </c>
      <c r="D122" s="95" t="s">
        <v>167</v>
      </c>
      <c r="E122" s="14" t="s">
        <v>64</v>
      </c>
      <c r="F122" s="14" t="s">
        <v>154</v>
      </c>
      <c r="O122" s="97"/>
    </row>
    <row r="123" spans="2:15" ht="15.75" customHeight="1" x14ac:dyDescent="0.15">
      <c r="B123" s="52" t="str">
        <f t="shared" si="4"/>
        <v>MIX5-A_1540-1469_4-1_flua8_submittername</v>
      </c>
      <c r="C123" s="32" t="str">
        <f t="shared" si="5"/>
        <v>MIX5-A_1540-1469_4-1_flua8_submittername.fa</v>
      </c>
      <c r="D123" s="33" t="s">
        <v>167</v>
      </c>
      <c r="E123" s="35" t="s">
        <v>66</v>
      </c>
      <c r="F123" s="35" t="s">
        <v>155</v>
      </c>
      <c r="G123" s="45"/>
      <c r="H123" s="45"/>
      <c r="I123" s="45"/>
      <c r="J123" s="45"/>
      <c r="K123" s="45"/>
      <c r="L123" s="45"/>
      <c r="M123" s="45"/>
      <c r="N123" s="45"/>
      <c r="O123" s="98"/>
    </row>
    <row r="124" spans="2:15" ht="15.75" customHeight="1" x14ac:dyDescent="0.15">
      <c r="B124" s="55" t="str">
        <f t="shared" si="4"/>
        <v>MIX5-B_1540-1469_1-1_rsva_submittername</v>
      </c>
      <c r="C124" s="41" t="str">
        <f t="shared" si="5"/>
        <v>MIX5-B_1540-1469_1-1_rsva_submittername.fa</v>
      </c>
      <c r="D124" s="42" t="s">
        <v>164</v>
      </c>
      <c r="E124" s="43" t="s">
        <v>101</v>
      </c>
      <c r="F124" s="43" t="s">
        <v>156</v>
      </c>
      <c r="G124" s="47"/>
      <c r="H124" s="47"/>
      <c r="I124" s="47"/>
      <c r="J124" s="47"/>
      <c r="K124" s="47"/>
      <c r="L124" s="47"/>
      <c r="M124" s="47"/>
      <c r="N124" s="47"/>
      <c r="O124" s="96"/>
    </row>
    <row r="125" spans="2:15" ht="15.75" customHeight="1" x14ac:dyDescent="0.15">
      <c r="B125" s="57" t="str">
        <f t="shared" si="4"/>
        <v>MIX5-B_1540-1469_1-1_flua1_submittername</v>
      </c>
      <c r="C125" s="1" t="str">
        <f t="shared" si="5"/>
        <v>MIX5-B_1540-1469_1-1_flua1_submittername.fa</v>
      </c>
      <c r="D125" s="95" t="s">
        <v>164</v>
      </c>
      <c r="E125" s="14" t="s">
        <v>51</v>
      </c>
      <c r="F125" s="14" t="s">
        <v>145</v>
      </c>
      <c r="O125" s="97"/>
    </row>
    <row r="126" spans="2:15" ht="15.75" customHeight="1" x14ac:dyDescent="0.15">
      <c r="B126" s="57" t="str">
        <f t="shared" si="4"/>
        <v>MIX5-B_1540-1469_1-1_flua2_submittername</v>
      </c>
      <c r="C126" s="1" t="str">
        <f t="shared" si="5"/>
        <v>MIX5-B_1540-1469_1-1_flua2_submittername.fa</v>
      </c>
      <c r="D126" s="95" t="s">
        <v>164</v>
      </c>
      <c r="E126" s="14" t="s">
        <v>54</v>
      </c>
      <c r="F126" s="14" t="s">
        <v>149</v>
      </c>
      <c r="O126" s="97"/>
    </row>
    <row r="127" spans="2:15" ht="15.75" customHeight="1" x14ac:dyDescent="0.15">
      <c r="B127" s="57" t="str">
        <f t="shared" si="4"/>
        <v>MIX5-B_1540-1469_1-1_flua3_submittername</v>
      </c>
      <c r="C127" s="1" t="str">
        <f t="shared" si="5"/>
        <v>MIX5-B_1540-1469_1-1_flua3_submittername.fa</v>
      </c>
      <c r="D127" s="95" t="s">
        <v>164</v>
      </c>
      <c r="E127" s="14" t="s">
        <v>56</v>
      </c>
      <c r="F127" s="14" t="s">
        <v>150</v>
      </c>
      <c r="O127" s="97"/>
    </row>
    <row r="128" spans="2:15" ht="15.75" customHeight="1" x14ac:dyDescent="0.15">
      <c r="B128" s="57" t="str">
        <f t="shared" si="4"/>
        <v>MIX5-B_1540-1469_1-1_flua4_submittername</v>
      </c>
      <c r="C128" s="1" t="str">
        <f t="shared" si="5"/>
        <v>MIX5-B_1540-1469_1-1_flua4_submittername.fa</v>
      </c>
      <c r="D128" s="95" t="s">
        <v>164</v>
      </c>
      <c r="E128" s="14" t="s">
        <v>58</v>
      </c>
      <c r="F128" s="14" t="s">
        <v>151</v>
      </c>
      <c r="O128" s="97"/>
    </row>
    <row r="129" spans="2:15" ht="15.75" customHeight="1" x14ac:dyDescent="0.15">
      <c r="B129" s="57" t="str">
        <f t="shared" si="4"/>
        <v>MIX5-B_1540-1469_1-1_flua5_submittername</v>
      </c>
      <c r="C129" s="1" t="str">
        <f t="shared" si="5"/>
        <v>MIX5-B_1540-1469_1-1_flua5_submittername.fa</v>
      </c>
      <c r="D129" s="95" t="s">
        <v>164</v>
      </c>
      <c r="E129" s="14" t="s">
        <v>60</v>
      </c>
      <c r="F129" s="14" t="s">
        <v>152</v>
      </c>
      <c r="O129" s="97"/>
    </row>
    <row r="130" spans="2:15" ht="15.75" customHeight="1" x14ac:dyDescent="0.15">
      <c r="B130" s="57" t="str">
        <f t="shared" si="4"/>
        <v>MIX5-B_1540-1469_1-1_flua6_submittername</v>
      </c>
      <c r="C130" s="1" t="str">
        <f t="shared" si="5"/>
        <v>MIX5-B_1540-1469_1-1_flua6_submittername.fa</v>
      </c>
      <c r="D130" s="95" t="s">
        <v>164</v>
      </c>
      <c r="E130" s="14" t="s">
        <v>62</v>
      </c>
      <c r="F130" s="14" t="s">
        <v>153</v>
      </c>
      <c r="O130" s="97"/>
    </row>
    <row r="131" spans="2:15" ht="15.75" customHeight="1" x14ac:dyDescent="0.15">
      <c r="B131" s="57" t="str">
        <f t="shared" si="4"/>
        <v>MIX5-B_1540-1469_1-1_flua7_submittername</v>
      </c>
      <c r="C131" s="1" t="str">
        <f t="shared" si="5"/>
        <v>MIX5-B_1540-1469_1-1_flua7_submittername.fa</v>
      </c>
      <c r="D131" s="95" t="s">
        <v>164</v>
      </c>
      <c r="E131" s="14" t="s">
        <v>64</v>
      </c>
      <c r="F131" s="14" t="s">
        <v>154</v>
      </c>
      <c r="O131" s="97"/>
    </row>
    <row r="132" spans="2:15" ht="15.75" customHeight="1" x14ac:dyDescent="0.15">
      <c r="B132" s="52" t="str">
        <f t="shared" si="4"/>
        <v>MIX5-B_1540-1469_1-1_flua8_submittername</v>
      </c>
      <c r="C132" s="32" t="str">
        <f t="shared" si="5"/>
        <v>MIX5-B_1540-1469_1-1_flua8_submittername.fa</v>
      </c>
      <c r="D132" s="33" t="s">
        <v>164</v>
      </c>
      <c r="E132" s="35" t="s">
        <v>66</v>
      </c>
      <c r="F132" s="35" t="s">
        <v>155</v>
      </c>
      <c r="G132" s="45"/>
      <c r="H132" s="45"/>
      <c r="I132" s="45"/>
      <c r="J132" s="45"/>
      <c r="K132" s="45"/>
      <c r="L132" s="45"/>
      <c r="M132" s="45"/>
      <c r="N132" s="45"/>
      <c r="O132" s="98"/>
    </row>
    <row r="133" spans="2:15" ht="15.75" customHeight="1" x14ac:dyDescent="0.15">
      <c r="B133" s="55" t="str">
        <f t="shared" si="4"/>
        <v>MIX5-C_1540-1469_1-4_rsva_submittername</v>
      </c>
      <c r="C133" s="41" t="str">
        <f t="shared" si="5"/>
        <v>MIX5-C_1540-1469_1-4_rsva_submittername.fa</v>
      </c>
      <c r="D133" s="42" t="s">
        <v>161</v>
      </c>
      <c r="E133" s="43" t="s">
        <v>101</v>
      </c>
      <c r="F133" s="43" t="s">
        <v>156</v>
      </c>
      <c r="G133" s="47"/>
      <c r="H133" s="47"/>
      <c r="I133" s="47"/>
      <c r="J133" s="47"/>
      <c r="K133" s="47"/>
      <c r="L133" s="47"/>
      <c r="M133" s="47"/>
      <c r="N133" s="47"/>
      <c r="O133" s="96"/>
    </row>
    <row r="134" spans="2:15" ht="15.75" customHeight="1" x14ac:dyDescent="0.15">
      <c r="B134" s="57" t="str">
        <f t="shared" si="4"/>
        <v>MIX5-C_1540-1469_1-4_flua1_submittername</v>
      </c>
      <c r="C134" s="1" t="str">
        <f t="shared" si="5"/>
        <v>MIX5-C_1540-1469_1-4_flua1_submittername.fa</v>
      </c>
      <c r="D134" s="95" t="s">
        <v>161</v>
      </c>
      <c r="E134" s="14" t="s">
        <v>51</v>
      </c>
      <c r="F134" s="14" t="s">
        <v>145</v>
      </c>
      <c r="O134" s="97"/>
    </row>
    <row r="135" spans="2:15" ht="15.75" customHeight="1" x14ac:dyDescent="0.15">
      <c r="B135" s="57" t="str">
        <f t="shared" si="4"/>
        <v>MIX5-C_1540-1469_1-4_flua2_submittername</v>
      </c>
      <c r="C135" s="1" t="str">
        <f t="shared" si="5"/>
        <v>MIX5-C_1540-1469_1-4_flua2_submittername.fa</v>
      </c>
      <c r="D135" s="95" t="s">
        <v>161</v>
      </c>
      <c r="E135" s="14" t="s">
        <v>54</v>
      </c>
      <c r="F135" s="14" t="s">
        <v>149</v>
      </c>
      <c r="O135" s="97"/>
    </row>
    <row r="136" spans="2:15" ht="15.75" customHeight="1" x14ac:dyDescent="0.15">
      <c r="B136" s="57" t="str">
        <f t="shared" si="4"/>
        <v>MIX5-C_1540-1469_1-4_flua3_submittername</v>
      </c>
      <c r="C136" s="1" t="str">
        <f t="shared" si="5"/>
        <v>MIX5-C_1540-1469_1-4_flua3_submittername.fa</v>
      </c>
      <c r="D136" s="95" t="s">
        <v>161</v>
      </c>
      <c r="E136" s="14" t="s">
        <v>56</v>
      </c>
      <c r="F136" s="14" t="s">
        <v>150</v>
      </c>
      <c r="O136" s="97"/>
    </row>
    <row r="137" spans="2:15" ht="15.75" customHeight="1" x14ac:dyDescent="0.15">
      <c r="B137" s="57" t="str">
        <f t="shared" si="4"/>
        <v>MIX5-C_1540-1469_1-4_flua4_submittername</v>
      </c>
      <c r="C137" s="1" t="str">
        <f t="shared" si="5"/>
        <v>MIX5-C_1540-1469_1-4_flua4_submittername.fa</v>
      </c>
      <c r="D137" s="95" t="s">
        <v>161</v>
      </c>
      <c r="E137" s="14" t="s">
        <v>58</v>
      </c>
      <c r="F137" s="14" t="s">
        <v>151</v>
      </c>
      <c r="O137" s="97"/>
    </row>
    <row r="138" spans="2:15" ht="15.75" customHeight="1" x14ac:dyDescent="0.15">
      <c r="B138" s="57" t="str">
        <f t="shared" si="4"/>
        <v>MIX5-C_1540-1469_1-4_flua5_submittername</v>
      </c>
      <c r="C138" s="1" t="str">
        <f t="shared" si="5"/>
        <v>MIX5-C_1540-1469_1-4_flua5_submittername.fa</v>
      </c>
      <c r="D138" s="95" t="s">
        <v>161</v>
      </c>
      <c r="E138" s="14" t="s">
        <v>60</v>
      </c>
      <c r="F138" s="14" t="s">
        <v>152</v>
      </c>
      <c r="O138" s="97"/>
    </row>
    <row r="139" spans="2:15" ht="15.75" customHeight="1" x14ac:dyDescent="0.15">
      <c r="B139" s="57" t="str">
        <f t="shared" ref="B139:B141" si="6">D139 &amp; "_" &amp; F139 &amp; "_" &amp; B$5</f>
        <v>MIX5-C_1540-1469_1-4_flua6_submittername</v>
      </c>
      <c r="C139" s="1" t="str">
        <f t="shared" ref="C139:C141" si="7">D139 &amp; "_" &amp; F139 &amp; "_" &amp; B$5 &amp; "." &amp; C$5</f>
        <v>MIX5-C_1540-1469_1-4_flua6_submittername.fa</v>
      </c>
      <c r="D139" s="95" t="s">
        <v>161</v>
      </c>
      <c r="E139" s="14" t="s">
        <v>62</v>
      </c>
      <c r="F139" s="14" t="s">
        <v>153</v>
      </c>
      <c r="O139" s="97"/>
    </row>
    <row r="140" spans="2:15" ht="15.75" customHeight="1" x14ac:dyDescent="0.15">
      <c r="B140" s="57" t="str">
        <f t="shared" si="6"/>
        <v>MIX5-C_1540-1469_1-4_flua7_submittername</v>
      </c>
      <c r="C140" s="1" t="str">
        <f t="shared" si="7"/>
        <v>MIX5-C_1540-1469_1-4_flua7_submittername.fa</v>
      </c>
      <c r="D140" s="95" t="s">
        <v>161</v>
      </c>
      <c r="E140" s="14" t="s">
        <v>64</v>
      </c>
      <c r="F140" s="14" t="s">
        <v>154</v>
      </c>
      <c r="O140" s="97"/>
    </row>
    <row r="141" spans="2:15" ht="15.75" customHeight="1" thickBot="1" x14ac:dyDescent="0.2">
      <c r="B141" s="63" t="str">
        <f t="shared" si="6"/>
        <v>MIX5-C_1540-1469_1-4_flua8_submittername</v>
      </c>
      <c r="C141" s="64" t="str">
        <f t="shared" si="7"/>
        <v>MIX5-C_1540-1469_1-4_flua8_submittername.fa</v>
      </c>
      <c r="D141" s="65" t="s">
        <v>161</v>
      </c>
      <c r="E141" s="66" t="s">
        <v>66</v>
      </c>
      <c r="F141" s="66" t="s">
        <v>155</v>
      </c>
      <c r="G141" s="99"/>
      <c r="H141" s="99"/>
      <c r="I141" s="99"/>
      <c r="J141" s="99"/>
      <c r="K141" s="99"/>
      <c r="L141" s="99"/>
      <c r="M141" s="99"/>
      <c r="N141" s="99"/>
      <c r="O141" s="100"/>
    </row>
  </sheetData>
  <mergeCells count="3">
    <mergeCell ref="B1:J1"/>
    <mergeCell ref="D2:E2"/>
    <mergeCell ref="D3:E3"/>
  </mergeCells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PhaseI-Bfx</vt:lpstr>
      <vt:lpstr>PhaseII-WetLab</vt:lpstr>
      <vt:lpstr>PhaseII-WetLabReference</vt:lpstr>
      <vt:lpstr>PhaseII-Bfx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Turner, Lauren (DGS)</dc:creator>
  <cp:lastModifiedBy>Wohl, Shirlee</cp:lastModifiedBy>
  <dcterms:created xsi:type="dcterms:W3CDTF">2025-11-04T19:33:45Z</dcterms:created>
  <dcterms:modified xsi:type="dcterms:W3CDTF">2025-11-06T20:41:09Z</dcterms:modified>
</cp:coreProperties>
</file>